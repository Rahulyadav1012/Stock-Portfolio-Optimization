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ebe9a0d8bfe700/ドキュメント/"/>
    </mc:Choice>
  </mc:AlternateContent>
  <xr:revisionPtr revIDLastSave="152" documentId="8_{1DA89735-B284-4FEC-B92D-21D30EB4FB65}" xr6:coauthVersionLast="47" xr6:coauthVersionMax="47" xr10:uidLastSave="{97499C37-509E-47AB-967C-941E01FA5B2C}"/>
  <bookViews>
    <workbookView xWindow="-108" yWindow="-108" windowWidth="23256" windowHeight="13896" xr2:uid="{3E4AEFA8-EEBB-4518-BE3B-B1982AB79A44}"/>
  </bookViews>
  <sheets>
    <sheet name="Portfolio" sheetId="1" r:id="rId1"/>
    <sheet name="Client1" sheetId="2" r:id="rId2"/>
    <sheet name="Sheet2" sheetId="3" r:id="rId3"/>
  </sheets>
  <definedNames>
    <definedName name="_xlnm._FilterDatabase" localSheetId="0" hidden="1">Portfolio!$B$256:$AE$256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3" i="3" l="1"/>
  <c r="P31" i="3"/>
  <c r="O31" i="3"/>
  <c r="M31" i="3"/>
  <c r="J31" i="3"/>
  <c r="K31" i="3" s="1"/>
  <c r="I31" i="3"/>
  <c r="Q31" i="3" s="1" a="1"/>
  <c r="T30" i="3"/>
  <c r="Q30" i="3" a="1"/>
  <c r="Q30" i="3" s="1"/>
  <c r="P30" i="3"/>
  <c r="O30" i="3"/>
  <c r="M30" i="3"/>
  <c r="L30" i="3"/>
  <c r="K30" i="3"/>
  <c r="J30" i="3"/>
  <c r="I30" i="3"/>
  <c r="T29" i="3"/>
  <c r="P29" i="3"/>
  <c r="O29" i="3"/>
  <c r="M29" i="3"/>
  <c r="J29" i="3"/>
  <c r="K29" i="3" s="1"/>
  <c r="I29" i="3"/>
  <c r="Q29" i="3" s="1" a="1"/>
  <c r="Q29" i="3" s="1"/>
  <c r="T28" i="3"/>
  <c r="Q28" i="3" a="1"/>
  <c r="Q28" i="3" s="1"/>
  <c r="P28" i="3"/>
  <c r="O28" i="3"/>
  <c r="M28" i="3"/>
  <c r="L28" i="3"/>
  <c r="K28" i="3"/>
  <c r="J28" i="3"/>
  <c r="I28" i="3"/>
  <c r="Q27" i="3" a="1"/>
  <c r="P27" i="3"/>
  <c r="J27" i="3"/>
  <c r="K27" i="3" s="1"/>
  <c r="I27" i="3"/>
  <c r="L27" i="3" s="1"/>
  <c r="Q26" i="3" a="1"/>
  <c r="Q26" i="3" s="1"/>
  <c r="P26" i="3"/>
  <c r="O26" i="3"/>
  <c r="M26" i="3"/>
  <c r="L26" i="3"/>
  <c r="K26" i="3"/>
  <c r="J26" i="3"/>
  <c r="I26" i="3"/>
  <c r="T25" i="3"/>
  <c r="P25" i="3"/>
  <c r="O25" i="3"/>
  <c r="M25" i="3"/>
  <c r="J25" i="3"/>
  <c r="K25" i="3" s="1"/>
  <c r="I25" i="3"/>
  <c r="Q25" i="3" s="1" a="1"/>
  <c r="Q25" i="3" s="1"/>
  <c r="T24" i="3"/>
  <c r="Q24" i="3" a="1"/>
  <c r="Q24" i="3" s="1"/>
  <c r="P24" i="3"/>
  <c r="L24" i="3"/>
  <c r="J24" i="3"/>
  <c r="K24" i="3" s="1"/>
  <c r="I24" i="3"/>
  <c r="T23" i="3"/>
  <c r="P23" i="3"/>
  <c r="M23" i="3"/>
  <c r="O23" i="3" s="1"/>
  <c r="L23" i="3"/>
  <c r="J23" i="3"/>
  <c r="K23" i="3" s="1"/>
  <c r="I23" i="3"/>
  <c r="Q23" i="3" s="1" a="1"/>
  <c r="Q23" i="3" s="1"/>
  <c r="Q22" i="3" a="1"/>
  <c r="P22" i="3"/>
  <c r="M22" i="3"/>
  <c r="O22" i="3" s="1"/>
  <c r="L22" i="3"/>
  <c r="J22" i="3"/>
  <c r="K22" i="3" s="1"/>
  <c r="I22" i="3"/>
  <c r="T21" i="3"/>
  <c r="P21" i="3"/>
  <c r="M21" i="3"/>
  <c r="O21" i="3" s="1"/>
  <c r="J21" i="3"/>
  <c r="K21" i="3" s="1"/>
  <c r="I21" i="3"/>
  <c r="Q21" i="3" s="1" a="1"/>
  <c r="Q21" i="3" s="1"/>
  <c r="Q20" i="3" a="1"/>
  <c r="P20" i="3"/>
  <c r="O20" i="3"/>
  <c r="M20" i="3"/>
  <c r="L20" i="3"/>
  <c r="K20" i="3"/>
  <c r="J20" i="3"/>
  <c r="I20" i="3"/>
  <c r="Q19" i="3" a="1"/>
  <c r="Q19" i="3" s="1"/>
  <c r="P19" i="3"/>
  <c r="J19" i="3"/>
  <c r="K19" i="3" s="1"/>
  <c r="I19" i="3"/>
  <c r="L19" i="3" s="1"/>
  <c r="Q18" i="3" a="1"/>
  <c r="Q18" i="3" s="1"/>
  <c r="P18" i="3"/>
  <c r="O18" i="3"/>
  <c r="M18" i="3"/>
  <c r="L18" i="3"/>
  <c r="K18" i="3"/>
  <c r="J18" i="3"/>
  <c r="I18" i="3"/>
  <c r="P17" i="3"/>
  <c r="M17" i="3"/>
  <c r="O17" i="3" s="1"/>
  <c r="J17" i="3"/>
  <c r="K17" i="3" s="1"/>
  <c r="I17" i="3"/>
  <c r="Q17" i="3" s="1" a="1"/>
  <c r="Q16" i="3" a="1"/>
  <c r="M16" i="3"/>
  <c r="O16" i="3" s="1"/>
  <c r="J16" i="3"/>
  <c r="P16" i="3" s="1"/>
  <c r="I16" i="3"/>
  <c r="L16" i="3" s="1"/>
  <c r="M15" i="3"/>
  <c r="O15" i="3" s="1"/>
  <c r="J15" i="3"/>
  <c r="K15" i="3" s="1"/>
  <c r="I15" i="3"/>
  <c r="Q15" i="3" s="1" a="1"/>
  <c r="M14" i="3"/>
  <c r="O14" i="3" s="1"/>
  <c r="J14" i="3"/>
  <c r="P14" i="3" s="1"/>
  <c r="I14" i="3"/>
  <c r="Q14" i="3" s="1" a="1"/>
  <c r="T13" i="3"/>
  <c r="J13" i="3"/>
  <c r="P13" i="3" s="1"/>
  <c r="I13" i="3"/>
  <c r="Q13" i="3" s="1" a="1"/>
  <c r="Q13" i="3" s="1"/>
  <c r="T12" i="3"/>
  <c r="Q12" i="3" a="1"/>
  <c r="Q12" i="3" s="1"/>
  <c r="P12" i="3"/>
  <c r="L12" i="3"/>
  <c r="K12" i="3"/>
  <c r="J12" i="3"/>
  <c r="I12" i="3"/>
  <c r="T11" i="3"/>
  <c r="P11" i="3"/>
  <c r="O11" i="3"/>
  <c r="M11" i="3"/>
  <c r="J11" i="3"/>
  <c r="K11" i="3" s="1"/>
  <c r="I11" i="3"/>
  <c r="Q11" i="3" s="1" a="1"/>
  <c r="Q11" i="3" s="1"/>
  <c r="Q10" i="3" a="1"/>
  <c r="P10" i="3"/>
  <c r="M10" i="3"/>
  <c r="O10" i="3" s="1"/>
  <c r="L10" i="3"/>
  <c r="J10" i="3"/>
  <c r="K10" i="3" s="1"/>
  <c r="I10" i="3"/>
  <c r="M9" i="3"/>
  <c r="O9" i="3" s="1"/>
  <c r="J9" i="3"/>
  <c r="P9" i="3" s="1"/>
  <c r="I9" i="3"/>
  <c r="Q9" i="3" s="1" a="1"/>
  <c r="P8" i="3"/>
  <c r="L8" i="3"/>
  <c r="J8" i="3"/>
  <c r="K8" i="3" s="1"/>
  <c r="I8" i="3"/>
  <c r="Q8" i="3" s="1" a="1"/>
  <c r="Q7" i="3" a="1"/>
  <c r="J7" i="3"/>
  <c r="P7" i="3" s="1"/>
  <c r="I7" i="3"/>
  <c r="L7" i="3" s="1"/>
  <c r="Q6" i="3" a="1"/>
  <c r="P6" i="3"/>
  <c r="M6" i="3"/>
  <c r="O6" i="3" s="1"/>
  <c r="L6" i="3"/>
  <c r="J6" i="3"/>
  <c r="K6" i="3" s="1"/>
  <c r="I6" i="3"/>
  <c r="M5" i="3"/>
  <c r="O5" i="3" s="1"/>
  <c r="J5" i="3"/>
  <c r="P5" i="3" s="1"/>
  <c r="I5" i="3"/>
  <c r="Q5" i="3" s="1" a="1"/>
  <c r="T4" i="3"/>
  <c r="Q4" i="3" a="1"/>
  <c r="Q4" i="3" s="1"/>
  <c r="P4" i="3"/>
  <c r="L4" i="3"/>
  <c r="K4" i="3"/>
  <c r="J4" i="3"/>
  <c r="I4" i="3"/>
  <c r="T3" i="3"/>
  <c r="M3" i="3"/>
  <c r="O3" i="3" s="1"/>
  <c r="J3" i="3"/>
  <c r="K3" i="3" s="1"/>
  <c r="I3" i="3"/>
  <c r="Q3" i="3" s="1" a="1"/>
  <c r="Q3" i="3" s="1"/>
  <c r="Q2" i="3" a="1"/>
  <c r="M2" i="3"/>
  <c r="O2" i="3" s="1"/>
  <c r="L2" i="3"/>
  <c r="J2" i="3"/>
  <c r="K2" i="3" s="1"/>
  <c r="I2" i="3"/>
  <c r="U34" i="2"/>
  <c r="D34" i="2"/>
  <c r="M32" i="2"/>
  <c r="N32" i="2" s="1"/>
  <c r="J32" i="2"/>
  <c r="I32" i="2"/>
  <c r="P32" i="2" s="1" a="1"/>
  <c r="P31" i="2" a="1"/>
  <c r="P31" i="2" s="1"/>
  <c r="O31" i="2"/>
  <c r="N31" i="2"/>
  <c r="M31" i="2"/>
  <c r="J31" i="2"/>
  <c r="L31" i="2" s="1"/>
  <c r="I31" i="2"/>
  <c r="M30" i="2"/>
  <c r="N30" i="2" s="1"/>
  <c r="J30" i="2"/>
  <c r="L30" i="2" s="1"/>
  <c r="I30" i="2"/>
  <c r="P30" i="2" s="1" a="1"/>
  <c r="P30" i="2" s="1"/>
  <c r="P29" i="2" a="1"/>
  <c r="P29" i="2" s="1"/>
  <c r="O29" i="2"/>
  <c r="M29" i="2"/>
  <c r="N29" i="2" s="1"/>
  <c r="L29" i="2"/>
  <c r="J29" i="2"/>
  <c r="I29" i="2"/>
  <c r="N28" i="2"/>
  <c r="J28" i="2"/>
  <c r="O28" i="2" s="1"/>
  <c r="I28" i="2"/>
  <c r="P28" i="2" s="1" a="1"/>
  <c r="M27" i="2"/>
  <c r="N27" i="2" s="1"/>
  <c r="J27" i="2"/>
  <c r="O27" i="2" s="1"/>
  <c r="I27" i="2"/>
  <c r="P27" i="2" s="1" a="1"/>
  <c r="M26" i="2"/>
  <c r="N26" i="2" s="1"/>
  <c r="J26" i="2"/>
  <c r="L26" i="2" s="1"/>
  <c r="I26" i="2"/>
  <c r="P26" i="2" s="1" a="1"/>
  <c r="P26" i="2" s="1"/>
  <c r="N25" i="2"/>
  <c r="J25" i="2"/>
  <c r="O25" i="2" s="1"/>
  <c r="I25" i="2"/>
  <c r="P25" i="2" s="1" a="1"/>
  <c r="P25" i="2" s="1"/>
  <c r="P24" i="2" a="1"/>
  <c r="P24" i="2" s="1"/>
  <c r="O24" i="2"/>
  <c r="M24" i="2"/>
  <c r="N24" i="2" s="1"/>
  <c r="L24" i="2"/>
  <c r="J24" i="2"/>
  <c r="I24" i="2"/>
  <c r="M23" i="2"/>
  <c r="N23" i="2" s="1"/>
  <c r="J23" i="2"/>
  <c r="O23" i="2" s="1"/>
  <c r="I23" i="2"/>
  <c r="P23" i="2" s="1" a="1"/>
  <c r="P22" i="2" a="1"/>
  <c r="P22" i="2" s="1"/>
  <c r="N22" i="2"/>
  <c r="M22" i="2"/>
  <c r="J22" i="2"/>
  <c r="O22" i="2" s="1"/>
  <c r="I22" i="2"/>
  <c r="M21" i="2"/>
  <c r="N21" i="2" s="1"/>
  <c r="J21" i="2"/>
  <c r="O21" i="2" s="1"/>
  <c r="I21" i="2"/>
  <c r="P21" i="2" s="1" a="1"/>
  <c r="P20" i="2" a="1"/>
  <c r="O20" i="2"/>
  <c r="N20" i="2"/>
  <c r="J20" i="2"/>
  <c r="L20" i="2" s="1"/>
  <c r="I20" i="2"/>
  <c r="M19" i="2"/>
  <c r="N19" i="2" s="1"/>
  <c r="J19" i="2"/>
  <c r="O19" i="2" s="1"/>
  <c r="I19" i="2"/>
  <c r="P19" i="2" s="1" a="1"/>
  <c r="M18" i="2"/>
  <c r="N18" i="2" s="1"/>
  <c r="J18" i="2"/>
  <c r="O18" i="2" s="1"/>
  <c r="I18" i="2"/>
  <c r="P18" i="2" s="1" a="1"/>
  <c r="M17" i="2"/>
  <c r="N17" i="2" s="1"/>
  <c r="J17" i="2"/>
  <c r="O17" i="2" s="1"/>
  <c r="I17" i="2"/>
  <c r="P17" i="2" s="1" a="1"/>
  <c r="O16" i="2"/>
  <c r="M16" i="2"/>
  <c r="N16" i="2" s="1"/>
  <c r="L16" i="2"/>
  <c r="J16" i="2"/>
  <c r="I16" i="2"/>
  <c r="P16" i="2" s="1" a="1"/>
  <c r="M15" i="2"/>
  <c r="N15" i="2" s="1"/>
  <c r="J15" i="2"/>
  <c r="O15" i="2" s="1"/>
  <c r="I15" i="2"/>
  <c r="P15" i="2" s="1" a="1"/>
  <c r="M14" i="2"/>
  <c r="N14" i="2" s="1"/>
  <c r="J14" i="2"/>
  <c r="O14" i="2" s="1"/>
  <c r="I14" i="2"/>
  <c r="P14" i="2" s="1" a="1"/>
  <c r="P14" i="2" s="1"/>
  <c r="P13" i="2" a="1"/>
  <c r="P13" i="2" s="1"/>
  <c r="M13" i="2"/>
  <c r="N13" i="2" s="1"/>
  <c r="J13" i="2"/>
  <c r="O13" i="2" s="1"/>
  <c r="I13" i="2"/>
  <c r="M12" i="2"/>
  <c r="N12" i="2" s="1"/>
  <c r="J12" i="2"/>
  <c r="O12" i="2" s="1"/>
  <c r="I12" i="2"/>
  <c r="P12" i="2" s="1" a="1"/>
  <c r="P12" i="2" s="1"/>
  <c r="P11" i="2"/>
  <c r="P11" i="2" a="1"/>
  <c r="O11" i="2"/>
  <c r="N11" i="2"/>
  <c r="M11" i="2"/>
  <c r="J11" i="2"/>
  <c r="L11" i="2" s="1"/>
  <c r="I11" i="2"/>
  <c r="M10" i="2"/>
  <c r="N10" i="2" s="1"/>
  <c r="J10" i="2"/>
  <c r="L10" i="2" s="1"/>
  <c r="I10" i="2"/>
  <c r="P10" i="2" s="1" a="1"/>
  <c r="P9" i="2" a="1"/>
  <c r="O9" i="2"/>
  <c r="N9" i="2"/>
  <c r="L9" i="2"/>
  <c r="J9" i="2"/>
  <c r="I9" i="2"/>
  <c r="N8" i="2"/>
  <c r="J8" i="2"/>
  <c r="L8" i="2" s="1"/>
  <c r="I8" i="2"/>
  <c r="P8" i="2" s="1" a="1"/>
  <c r="P7" i="2" a="1"/>
  <c r="O7" i="2"/>
  <c r="M7" i="2"/>
  <c r="N7" i="2" s="1"/>
  <c r="L7" i="2"/>
  <c r="J7" i="2"/>
  <c r="I7" i="2"/>
  <c r="M6" i="2"/>
  <c r="N6" i="2" s="1"/>
  <c r="J6" i="2"/>
  <c r="O6" i="2" s="1"/>
  <c r="I6" i="2"/>
  <c r="P6" i="2" s="1" a="1"/>
  <c r="N5" i="2"/>
  <c r="J5" i="2"/>
  <c r="O5" i="2" s="1"/>
  <c r="I5" i="2"/>
  <c r="P5" i="2" s="1" a="1"/>
  <c r="P5" i="2" s="1"/>
  <c r="P4" i="2"/>
  <c r="M4" i="2"/>
  <c r="N4" i="2" s="1"/>
  <c r="J4" i="2"/>
  <c r="L4" i="2" s="1"/>
  <c r="I4" i="2"/>
  <c r="P4" i="2" s="1" a="1"/>
  <c r="M3" i="2"/>
  <c r="N3" i="2" s="1"/>
  <c r="J3" i="2"/>
  <c r="L3" i="2" s="1"/>
  <c r="I3" i="2"/>
  <c r="P3" i="2" s="1" a="1"/>
  <c r="Q15" i="3" l="1"/>
  <c r="O33" i="3"/>
  <c r="D35" i="3" s="1"/>
  <c r="Q17" i="3"/>
  <c r="Q8" i="3"/>
  <c r="Q9" i="3"/>
  <c r="Q5" i="3"/>
  <c r="Q31" i="3"/>
  <c r="Q14" i="3"/>
  <c r="Q2" i="3"/>
  <c r="Q20" i="3"/>
  <c r="Q22" i="3"/>
  <c r="K5" i="3"/>
  <c r="K9" i="3"/>
  <c r="K13" i="3"/>
  <c r="L15" i="3"/>
  <c r="L5" i="3"/>
  <c r="L9" i="3"/>
  <c r="L13" i="3"/>
  <c r="K7" i="3"/>
  <c r="L17" i="3"/>
  <c r="L11" i="3"/>
  <c r="P15" i="3"/>
  <c r="L25" i="3"/>
  <c r="L29" i="3"/>
  <c r="L31" i="3"/>
  <c r="L3" i="3"/>
  <c r="L21" i="3"/>
  <c r="Q6" i="3"/>
  <c r="Q27" i="3"/>
  <c r="L14" i="3"/>
  <c r="K16" i="3"/>
  <c r="Q16" i="3"/>
  <c r="Q10" i="3"/>
  <c r="Q7" i="3"/>
  <c r="K14" i="3"/>
  <c r="P20" i="2"/>
  <c r="P21" i="2"/>
  <c r="P17" i="2"/>
  <c r="L5" i="2"/>
  <c r="P18" i="2"/>
  <c r="L22" i="2"/>
  <c r="P6" i="2"/>
  <c r="P9" i="2"/>
  <c r="L18" i="2"/>
  <c r="P27" i="2"/>
  <c r="P10" i="2"/>
  <c r="L27" i="2"/>
  <c r="P23" i="2"/>
  <c r="L14" i="2"/>
  <c r="P19" i="2"/>
  <c r="P3" i="2"/>
  <c r="P15" i="2"/>
  <c r="P28" i="2"/>
  <c r="P32" i="2"/>
  <c r="K3" i="2" a="1"/>
  <c r="K3" i="2" s="1"/>
  <c r="O32" i="2"/>
  <c r="L32" i="2"/>
  <c r="N35" i="2"/>
  <c r="D36" i="2" s="1"/>
  <c r="P7" i="2"/>
  <c r="P16" i="2"/>
  <c r="P8" i="2"/>
  <c r="L12" i="2"/>
  <c r="L23" i="2"/>
  <c r="L6" i="2"/>
  <c r="O10" i="2"/>
  <c r="O8" i="2"/>
  <c r="L15" i="2"/>
  <c r="L17" i="2"/>
  <c r="L19" i="2"/>
  <c r="L28" i="2"/>
  <c r="O30" i="2"/>
  <c r="L13" i="2"/>
  <c r="O26" i="2"/>
  <c r="O4" i="2"/>
  <c r="L25" i="2"/>
  <c r="L21" i="2"/>
  <c r="S17" i="3" l="1"/>
  <c r="T17" i="3" s="1"/>
  <c r="S5" i="3"/>
  <c r="T5" i="3" s="1"/>
  <c r="S18" i="3"/>
  <c r="T18" i="3" s="1"/>
  <c r="S16" i="3"/>
  <c r="T16" i="3" s="1"/>
  <c r="S8" i="3"/>
  <c r="T8" i="3" s="1"/>
  <c r="S19" i="3"/>
  <c r="T19" i="3" s="1"/>
  <c r="S15" i="3"/>
  <c r="T15" i="3" s="1"/>
  <c r="S26" i="3"/>
  <c r="T26" i="3" s="1"/>
  <c r="S31" i="3"/>
  <c r="T31" i="3" s="1"/>
  <c r="S27" i="3"/>
  <c r="T27" i="3" s="1"/>
  <c r="S9" i="3"/>
  <c r="T9" i="3" s="1"/>
  <c r="S7" i="3"/>
  <c r="T7" i="3" s="1"/>
  <c r="S20" i="3"/>
  <c r="T20" i="3" s="1"/>
  <c r="S2" i="3"/>
  <c r="T2" i="3" s="1"/>
  <c r="S10" i="3"/>
  <c r="T10" i="3" s="1"/>
  <c r="S14" i="3"/>
  <c r="T14" i="3" s="1"/>
  <c r="S22" i="3"/>
  <c r="T22" i="3" s="1"/>
  <c r="S6" i="3"/>
  <c r="T6" i="3" s="1"/>
  <c r="R8" i="2"/>
  <c r="S8" i="2" s="1"/>
  <c r="R16" i="2"/>
  <c r="S16" i="2" s="1"/>
  <c r="R19" i="2"/>
  <c r="S19" i="2" s="1"/>
  <c r="R17" i="2"/>
  <c r="S17" i="2" s="1"/>
  <c r="R15" i="2"/>
  <c r="S15" i="2" s="1"/>
  <c r="R28" i="2"/>
  <c r="S28" i="2" s="1"/>
  <c r="R21" i="2"/>
  <c r="S21" i="2" s="1"/>
  <c r="R6" i="2"/>
  <c r="S6" i="2" s="1"/>
  <c r="R23" i="2"/>
  <c r="S23" i="2" s="1"/>
  <c r="R10" i="2"/>
  <c r="S10" i="2" s="1"/>
  <c r="R32" i="2"/>
  <c r="S32" i="2" s="1"/>
  <c r="R3" i="2"/>
  <c r="S3" i="2" s="1"/>
  <c r="R27" i="2"/>
  <c r="S27" i="2" s="1"/>
  <c r="R18" i="2"/>
  <c r="S18" i="2" s="1"/>
  <c r="R20" i="2"/>
  <c r="S20" i="2" s="1"/>
  <c r="R7" i="2"/>
  <c r="S7" i="2" s="1"/>
  <c r="R9" i="2"/>
  <c r="S9" i="2" s="1"/>
  <c r="R11" i="2"/>
  <c r="S11" i="2" s="1"/>
  <c r="T33" i="3" l="1"/>
  <c r="S34" i="2"/>
  <c r="B256" i="1" l="1"/>
  <c r="B261" i="1" s="1"/>
  <c r="C256" i="1"/>
  <c r="C261" i="1" s="1"/>
  <c r="D256" i="1"/>
  <c r="D261" i="1" s="1"/>
  <c r="E256" i="1"/>
  <c r="E261" i="1" s="1"/>
  <c r="F256" i="1"/>
  <c r="F257" i="1" s="1"/>
  <c r="G256" i="1"/>
  <c r="G261" i="1" s="1"/>
  <c r="H256" i="1"/>
  <c r="H261" i="1" s="1"/>
  <c r="I256" i="1"/>
  <c r="I261" i="1" s="1"/>
  <c r="J256" i="1"/>
  <c r="J260" i="1" s="1"/>
  <c r="K256" i="1"/>
  <c r="K261" i="1" s="1"/>
  <c r="L256" i="1"/>
  <c r="L261" i="1" s="1"/>
  <c r="M256" i="1"/>
  <c r="N256" i="1"/>
  <c r="O256" i="1"/>
  <c r="O260" i="1" s="1"/>
  <c r="P256" i="1"/>
  <c r="P257" i="1" s="1"/>
  <c r="Q256" i="1"/>
  <c r="Q260" i="1" s="1"/>
  <c r="R256" i="1"/>
  <c r="R260" i="1" s="1"/>
  <c r="S256" i="1"/>
  <c r="S260" i="1" s="1"/>
  <c r="T256" i="1"/>
  <c r="T259" i="1" s="1"/>
  <c r="U256" i="1"/>
  <c r="V256" i="1"/>
  <c r="W256" i="1"/>
  <c r="X256" i="1"/>
  <c r="X257" i="1" s="1"/>
  <c r="Y256" i="1"/>
  <c r="Y261" i="1" s="1"/>
  <c r="Z256" i="1"/>
  <c r="Z257" i="1" s="1"/>
  <c r="AA256" i="1"/>
  <c r="AA261" i="1" s="1"/>
  <c r="AB256" i="1"/>
  <c r="AB261" i="1" s="1"/>
  <c r="AC256" i="1"/>
  <c r="AC261" i="1" s="1"/>
  <c r="AD256" i="1"/>
  <c r="AD261" i="1" s="1"/>
  <c r="B248" i="1" a="1"/>
  <c r="B248" i="1" s="1"/>
  <c r="B255" i="1" s="1"/>
  <c r="C260" i="1"/>
  <c r="M261" i="1"/>
  <c r="N261" i="1"/>
  <c r="O261" i="1"/>
  <c r="P261" i="1"/>
  <c r="U261" i="1"/>
  <c r="V261" i="1"/>
  <c r="W261" i="1"/>
  <c r="X261" i="1"/>
  <c r="D260" i="1"/>
  <c r="E260" i="1"/>
  <c r="F260" i="1"/>
  <c r="M260" i="1"/>
  <c r="N260" i="1"/>
  <c r="U260" i="1"/>
  <c r="V260" i="1"/>
  <c r="W260" i="1"/>
  <c r="X260" i="1"/>
  <c r="Y260" i="1"/>
  <c r="Z260" i="1"/>
  <c r="C258" i="1"/>
  <c r="D258" i="1"/>
  <c r="M258" i="1"/>
  <c r="N258" i="1"/>
  <c r="O258" i="1"/>
  <c r="P258" i="1"/>
  <c r="U258" i="1"/>
  <c r="V258" i="1"/>
  <c r="W258" i="1"/>
  <c r="X258" i="1"/>
  <c r="C259" i="1"/>
  <c r="D259" i="1"/>
  <c r="E259" i="1"/>
  <c r="F259" i="1"/>
  <c r="M259" i="1"/>
  <c r="N259" i="1"/>
  <c r="U259" i="1"/>
  <c r="V259" i="1"/>
  <c r="W259" i="1"/>
  <c r="X259" i="1"/>
  <c r="Y259" i="1"/>
  <c r="Z259" i="1"/>
  <c r="AF259" i="1"/>
  <c r="AG259" i="1"/>
  <c r="C257" i="1"/>
  <c r="M257" i="1"/>
  <c r="N257" i="1"/>
  <c r="O257" i="1"/>
  <c r="U257" i="1"/>
  <c r="V257" i="1"/>
  <c r="W257" i="1"/>
  <c r="AE256" i="1"/>
  <c r="AE261" i="1" s="1"/>
  <c r="AG249" i="1"/>
  <c r="AH249" i="1"/>
  <c r="AI249" i="1"/>
  <c r="C249" i="1"/>
  <c r="D249" i="1"/>
  <c r="E249" i="1"/>
  <c r="F249" i="1"/>
  <c r="G249" i="1"/>
  <c r="D251" i="1" s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B249" i="1"/>
  <c r="C255" i="1" l="1"/>
  <c r="B257" i="1"/>
  <c r="AD257" i="1"/>
  <c r="J257" i="1"/>
  <c r="AE258" i="1"/>
  <c r="K258" i="1"/>
  <c r="AC257" i="1"/>
  <c r="I257" i="1"/>
  <c r="AD258" i="1"/>
  <c r="J258" i="1"/>
  <c r="T260" i="1"/>
  <c r="J261" i="1"/>
  <c r="AC258" i="1"/>
  <c r="Y257" i="1"/>
  <c r="E257" i="1"/>
  <c r="P259" i="1"/>
  <c r="Z258" i="1"/>
  <c r="F258" i="1"/>
  <c r="P260" i="1"/>
  <c r="Z261" i="1"/>
  <c r="F261" i="1"/>
  <c r="L255" i="1"/>
  <c r="D257" i="1"/>
  <c r="O259" i="1"/>
  <c r="Y258" i="1"/>
  <c r="E258" i="1"/>
  <c r="K255" i="1"/>
  <c r="D255" i="1"/>
  <c r="AC255" i="1"/>
  <c r="I255" i="1"/>
  <c r="L259" i="1"/>
  <c r="B260" i="1"/>
  <c r="L260" i="1"/>
  <c r="AB255" i="1"/>
  <c r="H255" i="1"/>
  <c r="T257" i="1"/>
  <c r="AE259" i="1"/>
  <c r="K259" i="1"/>
  <c r="AE260" i="1"/>
  <c r="K260" i="1"/>
  <c r="AA255" i="1"/>
  <c r="G255" i="1"/>
  <c r="S257" i="1"/>
  <c r="AD259" i="1"/>
  <c r="J259" i="1"/>
  <c r="T258" i="1"/>
  <c r="AD260" i="1"/>
  <c r="T261" i="1"/>
  <c r="Z255" i="1"/>
  <c r="F255" i="1"/>
  <c r="R257" i="1"/>
  <c r="AC259" i="1"/>
  <c r="I259" i="1"/>
  <c r="S258" i="1"/>
  <c r="AC260" i="1"/>
  <c r="I260" i="1"/>
  <c r="S261" i="1"/>
  <c r="Y255" i="1"/>
  <c r="E255" i="1"/>
  <c r="Q257" i="1"/>
  <c r="AB259" i="1"/>
  <c r="H259" i="1"/>
  <c r="R258" i="1"/>
  <c r="AB260" i="1"/>
  <c r="H260" i="1"/>
  <c r="R261" i="1"/>
  <c r="X255" i="1"/>
  <c r="AA259" i="1"/>
  <c r="G259" i="1"/>
  <c r="Q258" i="1"/>
  <c r="AA260" i="1"/>
  <c r="G260" i="1"/>
  <c r="Q261" i="1"/>
  <c r="W255" i="1"/>
  <c r="AD255" i="1"/>
  <c r="V255" i="1"/>
  <c r="U255" i="1"/>
  <c r="L257" i="1"/>
  <c r="AE257" i="1"/>
  <c r="K257" i="1"/>
  <c r="B258" i="1"/>
  <c r="J255" i="1"/>
  <c r="T255" i="1"/>
  <c r="B259" i="1"/>
  <c r="S255" i="1"/>
  <c r="L258" i="1"/>
  <c r="R255" i="1"/>
  <c r="Q255" i="1"/>
  <c r="P255" i="1"/>
  <c r="AB257" i="1"/>
  <c r="H257" i="1"/>
  <c r="S259" i="1"/>
  <c r="I258" i="1"/>
  <c r="O255" i="1"/>
  <c r="AA257" i="1"/>
  <c r="G257" i="1"/>
  <c r="R259" i="1"/>
  <c r="AB258" i="1"/>
  <c r="H258" i="1"/>
  <c r="N255" i="1"/>
  <c r="Q259" i="1"/>
  <c r="AA258" i="1"/>
  <c r="G258" i="1"/>
  <c r="M25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<sst xmlns="http://schemas.openxmlformats.org/spreadsheetml/2006/main" count="340" uniqueCount="187">
  <si>
    <t>Date</t>
  </si>
  <si>
    <t>APLAPOLLO.BO</t>
  </si>
  <si>
    <t>ANDHRAPET.BO</t>
  </si>
  <si>
    <t>BALAMINES.BO</t>
  </si>
  <si>
    <t>BEPL.BO</t>
  </si>
  <si>
    <t>CHEMPLASTS.BO</t>
  </si>
  <si>
    <t>CAMS.BO</t>
  </si>
  <si>
    <t>EASEMYTRIP.BO</t>
  </si>
  <si>
    <t>ESABINDIA.BO</t>
  </si>
  <si>
    <t>GPIL.BO</t>
  </si>
  <si>
    <t>GUFICBIO.BO</t>
  </si>
  <si>
    <t>GUJTHEM.BO</t>
  </si>
  <si>
    <t>HAWKINCOOK.BO</t>
  </si>
  <si>
    <t>MAITHANALL.BO</t>
  </si>
  <si>
    <t>MANALIPETC.BO</t>
  </si>
  <si>
    <t>MONARCH.BO</t>
  </si>
  <si>
    <t>NDTV.BO</t>
  </si>
  <si>
    <t>SHAREINDIA.BO</t>
  </si>
  <si>
    <t>SHYAMCENT.BO</t>
  </si>
  <si>
    <t>SONATSOFTW.BO</t>
  </si>
  <si>
    <t>SPORTKING.BO</t>
  </si>
  <si>
    <t>STYRENIX.BO</t>
  </si>
  <si>
    <t>SPLPETRO.BO</t>
  </si>
  <si>
    <t>SUVENPHAR.BO</t>
  </si>
  <si>
    <t>SWARAJENG.BO</t>
  </si>
  <si>
    <t>TAALENT.BO</t>
  </si>
  <si>
    <t>THYROCARE.BO</t>
  </si>
  <si>
    <t>TANFACIND.BO</t>
  </si>
  <si>
    <t>TIPSMUSIC.BO</t>
  </si>
  <si>
    <t>TATASTEEL.NS</t>
  </si>
  <si>
    <t>PUNJAB</t>
  </si>
  <si>
    <t>Average Stock returns</t>
  </si>
  <si>
    <t>NIFTY 50</t>
  </si>
  <si>
    <t>SENSEX</t>
  </si>
  <si>
    <t>BSE-SMALLCAP</t>
  </si>
  <si>
    <t xml:space="preserve">Benchmark </t>
  </si>
  <si>
    <t>nifty 50</t>
  </si>
  <si>
    <t>Bse sensex</t>
  </si>
  <si>
    <t>BSE small cap</t>
  </si>
  <si>
    <t>Total Avg Stock Returns</t>
  </si>
  <si>
    <t xml:space="preserve">Total Market Capitalisation </t>
  </si>
  <si>
    <t>Negative/ Postive</t>
  </si>
  <si>
    <t>gainers /losers %</t>
  </si>
  <si>
    <t>Top Losers</t>
  </si>
  <si>
    <t>Percentage Loss</t>
  </si>
  <si>
    <t>Top Gainers</t>
  </si>
  <si>
    <t>Percentage Gainers</t>
  </si>
  <si>
    <t>No of Shares of Each Company outstanding</t>
  </si>
  <si>
    <t>APLAPOLLO.NS</t>
  </si>
  <si>
    <t>BALAMINES.NS</t>
  </si>
  <si>
    <t>BEPL.NS</t>
  </si>
  <si>
    <t>CAMS.NS</t>
  </si>
  <si>
    <t>EASEMYTRIP.NS</t>
  </si>
  <si>
    <t>GUJTHEMIS.NS</t>
  </si>
  <si>
    <t>HAWKINS.NS</t>
  </si>
  <si>
    <t>MAITHANALL.NS</t>
  </si>
  <si>
    <t>MANALIPETC.NS</t>
  </si>
  <si>
    <t>MONARCH.NS</t>
  </si>
  <si>
    <t>NDTV.NS</t>
  </si>
  <si>
    <t>PUNJABCHEM.NS</t>
  </si>
  <si>
    <t>SHAREINDIA.NS</t>
  </si>
  <si>
    <t>SHYAMCENT.NS</t>
  </si>
  <si>
    <t>SONATSOFTW.NS</t>
  </si>
  <si>
    <t>SUPPETRO.NS</t>
  </si>
  <si>
    <t>SUVENPHAR.NS</t>
  </si>
  <si>
    <t>SWARAJENG.NS</t>
  </si>
  <si>
    <t>TAALENT.NS</t>
  </si>
  <si>
    <t>TANFACIND.NS</t>
  </si>
  <si>
    <t>THYROCARE.NS</t>
  </si>
  <si>
    <t>TIPSINDLTD.NS</t>
  </si>
  <si>
    <t>Shares of the Company In the market</t>
  </si>
  <si>
    <t>Tanvi Gala Portfolio</t>
  </si>
  <si>
    <t>Qty</t>
  </si>
  <si>
    <t>Unit Cost</t>
  </si>
  <si>
    <t>Total Cost</t>
  </si>
  <si>
    <t>Market Price of Shares</t>
  </si>
  <si>
    <t>Total Market Value</t>
  </si>
  <si>
    <t>New Portfolio Shares</t>
  </si>
  <si>
    <t>Close Price</t>
  </si>
  <si>
    <t>As Per New Portfolio</t>
  </si>
  <si>
    <t>As Per Old Portfolio</t>
  </si>
  <si>
    <t>Sell/Hold</t>
  </si>
  <si>
    <t>Stocks not in new Portfolio</t>
  </si>
  <si>
    <t xml:space="preserve">No of Shares to be Sold </t>
  </si>
  <si>
    <t xml:space="preserve"> Selling Value of Shares to be sold</t>
  </si>
  <si>
    <t xml:space="preserve">Stocks to Hold </t>
  </si>
  <si>
    <t xml:space="preserve">New Buying Shares </t>
  </si>
  <si>
    <t>Price</t>
  </si>
  <si>
    <t xml:space="preserve">No of New Shares to Buy </t>
  </si>
  <si>
    <t>Total Value of shares bought</t>
  </si>
  <si>
    <t>Tanvi New Portfolio</t>
  </si>
  <si>
    <t>Amount</t>
  </si>
  <si>
    <t>ANDHRA PETROCHEMICALS LTD.</t>
  </si>
  <si>
    <t>KSolves India Ltd.</t>
  </si>
  <si>
    <t>KSOLVES INDIAN LTD</t>
  </si>
  <si>
    <t>APL APOLLO TUBES LTD.</t>
  </si>
  <si>
    <t>Tips Industries Ltd.</t>
  </si>
  <si>
    <t>BALAJI AMINES LTD</t>
  </si>
  <si>
    <t>BALAJI AMINES LTD.</t>
  </si>
  <si>
    <t>Esab India Ltd.</t>
  </si>
  <si>
    <t>WAAREE RENEWABLE TECHNOLOGIES LTD</t>
  </si>
  <si>
    <t>BHANSALI ENGINEERING POLYMERS LTD-EQUITY SHARES OF RE.1/-</t>
  </si>
  <si>
    <t>Waaree Renewable Technologies Ltd.</t>
  </si>
  <si>
    <t>DREAMFOLKS SERVICES LTD</t>
  </si>
  <si>
    <t>CHEMPLAST SANMAR LTD</t>
  </si>
  <si>
    <t>Dreamfolks Services Ltd.</t>
  </si>
  <si>
    <t>ICICI SECRUITIES LTD</t>
  </si>
  <si>
    <t>COMPUTER AGE MANAGEMENT SERVICES LTD</t>
  </si>
  <si>
    <t>ICICI Securities Ltd.</t>
  </si>
  <si>
    <t>JYOTI RESINS &amp; ADHESIVES LTD</t>
  </si>
  <si>
    <t>EASY TRIP PLANNERS LTD</t>
  </si>
  <si>
    <t>Jyoti Resins &amp; Adhesives Ltd.</t>
  </si>
  <si>
    <t>WEST COAST PAPERS MILLS LTD</t>
  </si>
  <si>
    <t>ESAB INDIA LTD.</t>
  </si>
  <si>
    <t>West Coast Paper Mills Ltd.</t>
  </si>
  <si>
    <t>FINE ORGANICS INDUSTRIES LTD</t>
  </si>
  <si>
    <t>GODAWARI POWER &amp; ISPAT LTD.</t>
  </si>
  <si>
    <t>Fine Organic Industries Ltd.</t>
  </si>
  <si>
    <t>GUFIC BIOSCIENCES LTD.</t>
  </si>
  <si>
    <t>Swaraj Engines Ltd.</t>
  </si>
  <si>
    <t>GUJARAT THEMIS BIOSYN LTD.</t>
  </si>
  <si>
    <t>Gujarat Themis Biosyn Ltd.</t>
  </si>
  <si>
    <t>ESAB INDIA LTD</t>
  </si>
  <si>
    <t>HAWKINS COOKERS LTD.</t>
  </si>
  <si>
    <t>GUJARAT THEMIS BIOSYN LTD</t>
  </si>
  <si>
    <t>MAITHAN ALLOYS LTD.</t>
  </si>
  <si>
    <t>Refex Industries Ltd.</t>
  </si>
  <si>
    <t>MANALI PETROCHEMICAL LTD.</t>
  </si>
  <si>
    <t>Indian Energy Exchange Ltd.</t>
  </si>
  <si>
    <t>REFEX INDUSTRIES LTD</t>
  </si>
  <si>
    <t>MONARCH NETWORTH CAPITAL LTD</t>
  </si>
  <si>
    <t>Shilchar Technologies Ltd.</t>
  </si>
  <si>
    <t>INDIAN ENERGY EXCHANGE LTD</t>
  </si>
  <si>
    <t>NEW DELHI TELEVISION LTD.</t>
  </si>
  <si>
    <t>Apar Industries Ltd.</t>
  </si>
  <si>
    <t>SHILCHAR TECHNOLOGIES LTD</t>
  </si>
  <si>
    <t>PUNJAB CHEMICALS AND CROP PROTECTION LTD.</t>
  </si>
  <si>
    <t>Angel One Ltd.</t>
  </si>
  <si>
    <t>APAR INDUSTRIES LTD</t>
  </si>
  <si>
    <t>SHARE INDIA SECURITIES LTD</t>
  </si>
  <si>
    <t>Ingersoll-Rand (India) Ltd.</t>
  </si>
  <si>
    <t>ANGEL ONE LTD</t>
  </si>
  <si>
    <t>SHYAM CENTURY FERROUS LTD</t>
  </si>
  <si>
    <t>Archean Chemical Industries Ltd.</t>
  </si>
  <si>
    <t>INGERSOLL RAND INDIA LTD</t>
  </si>
  <si>
    <t>SONATA SOFTWARE LTD.</t>
  </si>
  <si>
    <t>ARCHEAN CHEMICAL INDUSTRIES LTD</t>
  </si>
  <si>
    <t>SPORTKING INDIA LTD</t>
  </si>
  <si>
    <t>Knowledge Marine &amp; Engineering Works Ltd.</t>
  </si>
  <si>
    <t>STYRENIX PERFORMANCE MATERIALS LTD</t>
  </si>
  <si>
    <t>Tanfac Industries Ltd.</t>
  </si>
  <si>
    <t>KNOWLEDGE MARINE &amp; ENGINEERING WORKS LTD</t>
  </si>
  <si>
    <t>SUPREME PETROCHEM LTD.</t>
  </si>
  <si>
    <t>Hawkins Cookers Ltd.</t>
  </si>
  <si>
    <t>SUPREME PETROCHEM LTD</t>
  </si>
  <si>
    <t>SUVEN PHARMACEUTICALS LTD</t>
  </si>
  <si>
    <t>STEELCAST LTD</t>
  </si>
  <si>
    <t>SWARAJ ENGINES LTD.</t>
  </si>
  <si>
    <t>Steelcast Ltd.</t>
  </si>
  <si>
    <t>CLEAN SCIENCE AND TECHNOLOGY LTD</t>
  </si>
  <si>
    <t>TAAL ENTERPRISES LTD</t>
  </si>
  <si>
    <t>Clean Science And Technology Ltd.</t>
  </si>
  <si>
    <t>SWARAJ ENGINES LTD</t>
  </si>
  <si>
    <t>TANFAC INDUSTRIES LTD.</t>
  </si>
  <si>
    <t>THYROCARE TECHNOLOGIES LTD</t>
  </si>
  <si>
    <t>Supreme Petrochem Ltd.</t>
  </si>
  <si>
    <t>TANFAC INDUSTRIES LTD</t>
  </si>
  <si>
    <t>TINPLATE COMPANY OF INDIA LTD.</t>
  </si>
  <si>
    <t>Balaji Amines Ltd.</t>
  </si>
  <si>
    <t xml:space="preserve">DOLAT ALGOTECH LTD </t>
  </si>
  <si>
    <t>TIPS INDUSTRIES LTD.</t>
  </si>
  <si>
    <t>Dolat Algotech Ltd.</t>
  </si>
  <si>
    <t>TIPS INDUSTRIES LTD</t>
  </si>
  <si>
    <t/>
  </si>
  <si>
    <t>Total</t>
  </si>
  <si>
    <t xml:space="preserve">Total </t>
  </si>
  <si>
    <t>To Calculate Buy Amount Per Stock</t>
  </si>
  <si>
    <t>Vedant Ajmera Portfolio</t>
  </si>
  <si>
    <t>Quantity</t>
  </si>
  <si>
    <t>Stocks not in New Portfolio</t>
  </si>
  <si>
    <t>No of Shares to be sold</t>
  </si>
  <si>
    <t>Selling Amount</t>
  </si>
  <si>
    <t>Stocks to Hold</t>
  </si>
  <si>
    <t xml:space="preserve">Stocks to Buy </t>
  </si>
  <si>
    <t>No of New Shares to Buy</t>
  </si>
  <si>
    <t>Buying Amount</t>
  </si>
  <si>
    <t>Vedant New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</si>
</sst>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33" borderId="0" xfId="0" applyFill="1"/>
    <xf numFmtId="0" fontId="18" fillId="34" borderId="0" xfId="0" applyFont="1" applyFill="1"/>
    <xf numFmtId="0" fontId="19" fillId="0" borderId="12" xfId="0" applyFont="1" applyBorder="1" applyAlignment="1">
      <alignment horizontal="center" vertical="top"/>
    </xf>
    <xf numFmtId="0" fontId="0" fillId="0" borderId="13" xfId="0" applyBorder="1"/>
    <xf numFmtId="0" fontId="19" fillId="0" borderId="14" xfId="0" applyFont="1" applyBorder="1" applyAlignment="1">
      <alignment horizontal="center" vertical="top"/>
    </xf>
    <xf numFmtId="0" fontId="0" fillId="0" borderId="15" xfId="0" applyBorder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2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1" fontId="0" fillId="0" borderId="0" xfId="0" applyNumberFormat="1"/>
    <xf numFmtId="0" fontId="16" fillId="38" borderId="0" xfId="0" applyFont="1" applyFill="1"/>
    <xf numFmtId="0" fontId="16" fillId="33" borderId="0" xfId="0" applyFont="1" applyFill="1"/>
    <xf numFmtId="1" fontId="16" fillId="33" borderId="0" xfId="0" applyNumberFormat="1" applyFont="1" applyFill="1"/>
    <xf numFmtId="0" fontId="16" fillId="0" borderId="0" xfId="0" applyFont="1"/>
    <xf numFmtId="0" fontId="22" fillId="39" borderId="22" xfId="0" applyFont="1" applyFill="1" applyBorder="1" applyAlignment="1">
      <alignment horizontal="center"/>
    </xf>
    <xf numFmtId="0" fontId="22" fillId="39" borderId="23" xfId="0" applyFont="1" applyFill="1" applyBorder="1"/>
    <xf numFmtId="0" fontId="22" fillId="39" borderId="23" xfId="0" applyFont="1" applyFill="1" applyBorder="1" applyAlignment="1">
      <alignment horizontal="center"/>
    </xf>
    <xf numFmtId="0" fontId="16" fillId="39" borderId="23" xfId="0" applyFont="1" applyFill="1" applyBorder="1"/>
    <xf numFmtId="0" fontId="16" fillId="39" borderId="24" xfId="0" applyFont="1" applyFill="1" applyBorder="1" applyAlignment="1">
      <alignment horizontal="center"/>
    </xf>
    <xf numFmtId="0" fontId="22" fillId="39" borderId="20" xfId="0" applyFont="1" applyFill="1" applyBorder="1" applyAlignment="1">
      <alignment horizontal="center" vertical="center"/>
    </xf>
    <xf numFmtId="0" fontId="16" fillId="39" borderId="23" xfId="0" applyFont="1" applyFill="1" applyBorder="1" applyAlignment="1">
      <alignment horizontal="center"/>
    </xf>
    <xf numFmtId="0" fontId="20" fillId="39" borderId="16" xfId="0" applyFont="1" applyFill="1" applyBorder="1" applyAlignment="1">
      <alignment horizontal="center" vertical="center"/>
    </xf>
    <xf numFmtId="0" fontId="20" fillId="39" borderId="17" xfId="0" applyFont="1" applyFill="1" applyBorder="1" applyAlignment="1">
      <alignment horizontal="center" vertical="center"/>
    </xf>
    <xf numFmtId="0" fontId="20" fillId="39" borderId="18" xfId="0" applyFont="1" applyFill="1" applyBorder="1" applyAlignment="1">
      <alignment horizontal="center" vertical="center"/>
    </xf>
    <xf numFmtId="0" fontId="21" fillId="39" borderId="19" xfId="0" applyFont="1" applyFill="1" applyBorder="1" applyAlignment="1">
      <alignment horizontal="center" vertical="center"/>
    </xf>
    <xf numFmtId="0" fontId="22" fillId="39" borderId="21" xfId="0" applyFont="1" applyFill="1" applyBorder="1" applyAlignment="1">
      <alignment horizontal="center" vertical="center"/>
    </xf>
    <xf numFmtId="0" fontId="16" fillId="37" borderId="0" xfId="0" applyFont="1" applyFill="1" applyAlignment="1">
      <alignment horizontal="center" vertical="center"/>
    </xf>
    <xf numFmtId="0" fontId="16" fillId="35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1" fontId="16" fillId="33" borderId="0" xfId="0" applyNumberFormat="1" applyFont="1" applyFill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0" fillId="39" borderId="0" xfId="0" applyFill="1"/>
    <xf numFmtId="0" fontId="16" fillId="35" borderId="0" xfId="0" applyFont="1" applyFill="1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</a:t>
            </a:r>
            <a:r>
              <a:rPr lang="en-IN" baseline="0"/>
              <a:t> Stock Returns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7.4948101541300133E-2"/>
          <c:y val="0.13974096356642451"/>
          <c:w val="0.9196040593394097"/>
          <c:h val="0.79983974861708018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Portfolio!$B$249:$AE$249</c:f>
              <c:numCache>
                <c:formatCode>General</c:formatCode>
                <c:ptCount val="30"/>
                <c:pt idx="0">
                  <c:v>74.643098988808859</c:v>
                </c:pt>
                <c:pt idx="1">
                  <c:v>1130.4097133667988</c:v>
                </c:pt>
                <c:pt idx="2">
                  <c:v>2750.5010381020784</c:v>
                </c:pt>
                <c:pt idx="3">
                  <c:v>77.950100812044994</c:v>
                </c:pt>
                <c:pt idx="4">
                  <c:v>431.28491765802551</c:v>
                </c:pt>
                <c:pt idx="5">
                  <c:v>2303.1925618825867</c:v>
                </c:pt>
                <c:pt idx="6">
                  <c:v>25.157228824520892</c:v>
                </c:pt>
                <c:pt idx="7">
                  <c:v>3681.9712842200415</c:v>
                </c:pt>
                <c:pt idx="8">
                  <c:v>68.73743794969289</c:v>
                </c:pt>
                <c:pt idx="9">
                  <c:v>213.97024782038909</c:v>
                </c:pt>
                <c:pt idx="10">
                  <c:v>138.80165308172033</c:v>
                </c:pt>
                <c:pt idx="11">
                  <c:v>6147.6898788578255</c:v>
                </c:pt>
                <c:pt idx="12">
                  <c:v>966.05681717297193</c:v>
                </c:pt>
                <c:pt idx="13">
                  <c:v>82.311198337018936</c:v>
                </c:pt>
                <c:pt idx="14">
                  <c:v>146.02107449996564</c:v>
                </c:pt>
                <c:pt idx="15">
                  <c:v>286.81012467313394</c:v>
                </c:pt>
                <c:pt idx="16">
                  <c:v>246.37871917220178</c:v>
                </c:pt>
                <c:pt idx="17">
                  <c:v>20.675413159299481</c:v>
                </c:pt>
                <c:pt idx="18">
                  <c:v>338.02866722926615</c:v>
                </c:pt>
                <c:pt idx="19">
                  <c:v>77.296094957462032</c:v>
                </c:pt>
                <c:pt idx="20">
                  <c:v>846.8086774841812</c:v>
                </c:pt>
                <c:pt idx="21">
                  <c:v>392.15454568153564</c:v>
                </c:pt>
                <c:pt idx="22">
                  <c:v>470.4805787141658</c:v>
                </c:pt>
                <c:pt idx="23">
                  <c:v>1657.5704517206859</c:v>
                </c:pt>
                <c:pt idx="24">
                  <c:v>1706.5074407404106</c:v>
                </c:pt>
                <c:pt idx="25">
                  <c:v>1074.0489658324179</c:v>
                </c:pt>
                <c:pt idx="26">
                  <c:v>572.16735537190073</c:v>
                </c:pt>
                <c:pt idx="27">
                  <c:v>172.4903719563128</c:v>
                </c:pt>
                <c:pt idx="28">
                  <c:v>108.81188009593104</c:v>
                </c:pt>
                <c:pt idx="29">
                  <c:v>1071.1570270632892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6D-4BFD-9442-E03CC7B6F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8362800"/>
        <c:axId val="2058368560"/>
      </c:lineChart>
      <c:catAx>
        <c:axId val="2058362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368560"/>
        <c:crosses val="autoZero"/>
        <c:auto val="1"/>
        <c:lblAlgn val="ctr"/>
        <c:lblOffset val="100"/>
        <c:noMultiLvlLbl val="0"/>
      </c:catAx>
      <c:valAx>
        <c:axId val="205836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3628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30 Stocks Average Day Wise Portfolio Graph</a:t>
            </a:r>
          </a:p>
          <a:p>
            <a:pPr>
              <a:defRPr/>
            </a:pPr>
            <a:endParaRPr lang="en-US" sz="16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a:endParaRPr>
          </a:p>
        </c:rich>
      </c:tx>
      <c:layout>
        <c:manualLayout>
          <c:xMode val="edge"/>
          <c:yMode val="edge"/>
          <c:x val="0.2877940045057104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305485476102638E-2"/>
          <c:y val="0.12488604100689758"/>
          <c:w val="0.87753018372703417"/>
          <c:h val="0.70959135316418775"/>
        </c:manualLayout>
      </c:layout>
      <c:lineChart>
        <c:grouping val="standard"/>
        <c:varyColors val="0"/>
        <c:ser>
          <c:idx val="0"/>
          <c:order val="0"/>
          <c:tx>
            <c:strRef>
              <c:f>Portfolio!$A$249</c:f>
              <c:strCache>
                <c:ptCount val="1"/>
                <c:pt idx="0">
                  <c:v>Average Stock returns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Portfolio!$B$249:$AE$249</c:f>
              <c:numCache>
                <c:formatCode>General</c:formatCode>
                <c:ptCount val="30"/>
                <c:pt idx="0">
                  <c:v>74.643098988808859</c:v>
                </c:pt>
                <c:pt idx="1">
                  <c:v>1130.4097133667988</c:v>
                </c:pt>
                <c:pt idx="2">
                  <c:v>2750.5010381020784</c:v>
                </c:pt>
                <c:pt idx="3">
                  <c:v>77.950100812044994</c:v>
                </c:pt>
                <c:pt idx="4">
                  <c:v>431.28491765802551</c:v>
                </c:pt>
                <c:pt idx="5">
                  <c:v>2303.1925618825867</c:v>
                </c:pt>
                <c:pt idx="6">
                  <c:v>25.157228824520892</c:v>
                </c:pt>
                <c:pt idx="7">
                  <c:v>3681.9712842200415</c:v>
                </c:pt>
                <c:pt idx="8">
                  <c:v>68.73743794969289</c:v>
                </c:pt>
                <c:pt idx="9">
                  <c:v>213.97024782038909</c:v>
                </c:pt>
                <c:pt idx="10">
                  <c:v>138.80165308172033</c:v>
                </c:pt>
                <c:pt idx="11">
                  <c:v>6147.6898788578255</c:v>
                </c:pt>
                <c:pt idx="12">
                  <c:v>966.05681717297193</c:v>
                </c:pt>
                <c:pt idx="13">
                  <c:v>82.311198337018936</c:v>
                </c:pt>
                <c:pt idx="14">
                  <c:v>146.02107449996564</c:v>
                </c:pt>
                <c:pt idx="15">
                  <c:v>286.81012467313394</c:v>
                </c:pt>
                <c:pt idx="16">
                  <c:v>246.37871917220178</c:v>
                </c:pt>
                <c:pt idx="17">
                  <c:v>20.675413159299481</c:v>
                </c:pt>
                <c:pt idx="18">
                  <c:v>338.02866722926615</c:v>
                </c:pt>
                <c:pt idx="19">
                  <c:v>77.296094957462032</c:v>
                </c:pt>
                <c:pt idx="20">
                  <c:v>846.8086774841812</c:v>
                </c:pt>
                <c:pt idx="21">
                  <c:v>392.15454568153564</c:v>
                </c:pt>
                <c:pt idx="22">
                  <c:v>470.4805787141658</c:v>
                </c:pt>
                <c:pt idx="23">
                  <c:v>1657.5704517206859</c:v>
                </c:pt>
                <c:pt idx="24">
                  <c:v>1706.5074407404106</c:v>
                </c:pt>
                <c:pt idx="25">
                  <c:v>1074.0489658324179</c:v>
                </c:pt>
                <c:pt idx="26">
                  <c:v>572.16735537190073</c:v>
                </c:pt>
                <c:pt idx="27">
                  <c:v>172.4903719563128</c:v>
                </c:pt>
                <c:pt idx="28">
                  <c:v>108.81188009593104</c:v>
                </c:pt>
                <c:pt idx="29">
                  <c:v>1071.1570270632892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21-4B9F-ADCA-9E8C8DC8D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184416"/>
        <c:axId val="1847187776"/>
      </c:lineChart>
      <c:catAx>
        <c:axId val="1847184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187776"/>
        <c:crosses val="autoZero"/>
        <c:auto val="1"/>
        <c:lblAlgn val="ctr"/>
        <c:lblOffset val="100"/>
        <c:noMultiLvlLbl val="0"/>
      </c:catAx>
      <c:valAx>
        <c:axId val="184718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1844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Day Wise Portfolio Comparison with Benchmarks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103588180171323E-2"/>
          <c:y val="0.14775443852994613"/>
          <c:w val="0.90895205203598806"/>
          <c:h val="0.7918621159574929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Portfolio!$A$250:$A$253</c:f>
              <c:strCache>
                <c:ptCount val="4"/>
                <c:pt idx="0">
                  <c:v>nifty 50</c:v>
                </c:pt>
                <c:pt idx="1">
                  <c:v>Bse sensex</c:v>
                </c:pt>
                <c:pt idx="2">
                  <c:v>BSE small cap</c:v>
                </c:pt>
                <c:pt idx="3">
                  <c:v>Average Stock returns</c:v>
                </c:pt>
              </c:strCache>
            </c:strRef>
          </c:cat>
          <c:val>
            <c:numRef>
              <c:f>Portfolio!$B$250:$B$253</c:f>
              <c:numCache>
                <c:formatCode>General</c:formatCode>
                <c:ptCount val="4"/>
                <c:pt idx="0">
                  <c:v>18063.5</c:v>
                </c:pt>
                <c:pt idx="1">
                  <c:v>60898</c:v>
                </c:pt>
                <c:pt idx="2">
                  <c:v>28998.799999999999</c:v>
                </c:pt>
                <c:pt idx="3">
                  <c:v>27280.084569999999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D0-4039-8AD3-FEB48EDE1E5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581184"/>
        <c:axId val="13589344"/>
      </c:lineChart>
      <c:catAx>
        <c:axId val="1358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9344"/>
        <c:crosses val="autoZero"/>
        <c:auto val="1"/>
        <c:lblAlgn val="ctr"/>
        <c:lblOffset val="100"/>
        <c:noMultiLvlLbl val="0"/>
      </c:catAx>
      <c:valAx>
        <c:axId val="135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0469816272965886E-2"/>
          <c:y val="0.2061574074074074"/>
          <c:w val="0.86205096237970258"/>
          <c:h val="0.70959135316418775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Portfolio!$A$255</c:f>
              <c:strCache>
                <c:ptCount val="1"/>
                <c:pt idx="0">
                  <c:v>Total Market Capitalisation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Portfolio!$B$255:$AD$255</c:f>
              <c:numCache>
                <c:formatCode>General</c:formatCode>
                <c:ptCount val="29"/>
                <c:pt idx="0">
                  <c:v>5139950103.7597628</c:v>
                </c:pt>
                <c:pt idx="1">
                  <c:v>366360735163.68542</c:v>
                </c:pt>
                <c:pt idx="2">
                  <c:v>75539688235.839844</c:v>
                </c:pt>
                <c:pt idx="3">
                  <c:v>21725085816.329952</c:v>
                </c:pt>
                <c:pt idx="4">
                  <c:v>70090161069.946167</c:v>
                </c:pt>
                <c:pt idx="5">
                  <c:v>106598045050.87891</c:v>
                </c:pt>
                <c:pt idx="6">
                  <c:v>73699141208.631668</c:v>
                </c:pt>
                <c:pt idx="7">
                  <c:v>60801579598.388596</c:v>
                </c:pt>
                <c:pt idx="8">
                  <c:v>62624035800.556625</c:v>
                </c:pt>
                <c:pt idx="9">
                  <c:v>23560315793.975811</c:v>
                </c:pt>
                <c:pt idx="10">
                  <c:v>1728362180.02319</c:v>
                </c:pt>
                <c:pt idx="11">
                  <c:v>33843413964.84375</c:v>
                </c:pt>
                <c:pt idx="12">
                  <c:v>28444943649.267567</c:v>
                </c:pt>
                <c:pt idx="13">
                  <c:v>11386333804.700668</c:v>
                </c:pt>
                <c:pt idx="14">
                  <c:v>9209347668</c:v>
                </c:pt>
                <c:pt idx="15">
                  <c:v>14883199998.501547</c:v>
                </c:pt>
                <c:pt idx="16">
                  <c:v>3201537753.0944748</c:v>
                </c:pt>
                <c:pt idx="17">
                  <c:v>4091625000</c:v>
                </c:pt>
                <c:pt idx="18">
                  <c:v>105312065874.20103</c:v>
                </c:pt>
                <c:pt idx="19">
                  <c:v>22164541063.354485</c:v>
                </c:pt>
                <c:pt idx="20">
                  <c:v>139817327804.68686</c:v>
                </c:pt>
                <c:pt idx="21">
                  <c:v>7759646000</c:v>
                </c:pt>
                <c:pt idx="22">
                  <c:v>9176652885.4370041</c:v>
                </c:pt>
                <c:pt idx="23">
                  <c:v>533962811399.52997</c:v>
                </c:pt>
                <c:pt idx="24">
                  <c:v>21803189066.564911</c:v>
                </c:pt>
                <c:pt idx="25">
                  <c:v>5928750000</c:v>
                </c:pt>
                <c:pt idx="26">
                  <c:v>5199617878.4179611</c:v>
                </c:pt>
                <c:pt idx="27">
                  <c:v>13979130673.132284</c:v>
                </c:pt>
                <c:pt idx="28">
                  <c:v>1391229306643.3025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6-4645-9EE1-09CECE503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471056"/>
        <c:axId val="51470576"/>
        <c:axId val="0"/>
      </c:bar3DChart>
      <c:catAx>
        <c:axId val="5147105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70576"/>
        <c:crosses val="autoZero"/>
        <c:auto val="1"/>
        <c:lblAlgn val="ctr"/>
        <c:lblOffset val="100"/>
        <c:noMultiLvlLbl val="0"/>
      </c:catAx>
      <c:valAx>
        <c:axId val="51470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7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641933</xdr:colOff>
      <xdr:row>265</xdr:row>
      <xdr:rowOff>3707</xdr:rowOff>
    </xdr:from>
    <xdr:to>
      <xdr:col>40</xdr:col>
      <xdr:colOff>30274</xdr:colOff>
      <xdr:row>285</xdr:row>
      <xdr:rowOff>173818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4394FC-EC99-16D1-692D-892817150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30685</xdr:colOff>
      <xdr:row>268</xdr:row>
      <xdr:rowOff>38101</xdr:rowOff>
    </xdr:from>
    <xdr:to>
      <xdr:col>26</xdr:col>
      <xdr:colOff>473674</xdr:colOff>
      <xdr:row>290</xdr:row>
      <xdr:rowOff>20594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292622-04D3-3379-B2B3-AA5231198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844378</xdr:colOff>
      <xdr:row>264</xdr:row>
      <xdr:rowOff>106062</xdr:rowOff>
    </xdr:from>
    <xdr:to>
      <xdr:col>31</xdr:col>
      <xdr:colOff>123567</xdr:colOff>
      <xdr:row>285</xdr:row>
      <xdr:rowOff>41190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74D0B3-9E81-FA57-785E-19B8A7FB9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504568</xdr:colOff>
      <xdr:row>263</xdr:row>
      <xdr:rowOff>75169</xdr:rowOff>
    </xdr:from>
    <xdr:to>
      <xdr:col>11</xdr:col>
      <xdr:colOff>164757</xdr:colOff>
      <xdr:row>284</xdr:row>
      <xdr:rowOff>154458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9E66313-DF9C-6E69-774E-99900BFD5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EF8D-B5CD-47D1-AC32-61D52D0AF107}">
  <dimension ref="A1:AI298"/>
  <sheetViews>
    <sheetView tabSelected="1" topLeftCell="P214" zoomScale="27" workbookViewId="0">
      <selection activeCell="A268" sqref="A268:B268"/>
    </sheetView>
  </sheetViews>
  <sheetFormatPr defaultRowHeight="14.4" x14ac:dyDescent="0.3"/>
  <cols>
    <col min="1" max="1" width="39.88671875" customWidth="1"/>
    <col min="2" max="2" width="18.21875" customWidth="1"/>
    <col min="3" max="3" width="23.44140625" customWidth="1"/>
    <col min="4" max="4" width="19.77734375" customWidth="1"/>
    <col min="5" max="5" width="20.33203125" customWidth="1"/>
    <col min="6" max="6" width="19.33203125" customWidth="1"/>
    <col min="7" max="7" width="26.21875" customWidth="1"/>
    <col min="8" max="8" width="17.5546875" customWidth="1"/>
    <col min="9" max="10" width="17" customWidth="1"/>
    <col min="11" max="11" width="19.44140625" customWidth="1"/>
    <col min="12" max="12" width="23.44140625" customWidth="1"/>
    <col min="13" max="13" width="19.88671875" customWidth="1"/>
    <col min="14" max="14" width="19.44140625" customWidth="1"/>
    <col min="15" max="15" width="28.21875" customWidth="1"/>
    <col min="16" max="16" width="17.21875" customWidth="1"/>
    <col min="17" max="17" width="18.5546875" customWidth="1"/>
    <col min="18" max="18" width="25.5546875" customWidth="1"/>
    <col min="19" max="19" width="15.109375" customWidth="1"/>
    <col min="20" max="20" width="18" customWidth="1"/>
    <col min="21" max="21" width="26" customWidth="1"/>
    <col min="22" max="22" width="17.77734375" customWidth="1"/>
    <col min="23" max="23" width="19.77734375" customWidth="1"/>
    <col min="24" max="24" width="18.21875" customWidth="1"/>
    <col min="25" max="25" width="19.21875" customWidth="1"/>
    <col min="26" max="26" width="18.21875" customWidth="1"/>
    <col min="27" max="27" width="22.109375" customWidth="1"/>
    <col min="28" max="28" width="22.6640625" customWidth="1"/>
    <col min="29" max="29" width="18.6640625" customWidth="1"/>
    <col min="30" max="30" width="32" customWidth="1"/>
    <col min="31" max="31" width="29.109375" customWidth="1"/>
    <col min="32" max="32" width="11.33203125" customWidth="1"/>
    <col min="33" max="33" width="18.77734375" customWidth="1"/>
    <col min="34" max="34" width="18.21875" customWidth="1"/>
    <col min="35" max="35" width="18.109375" customWidth="1"/>
    <col min="39" max="39" width="20.77734375" customWidth="1"/>
    <col min="40" max="40" width="19" customWidth="1"/>
  </cols>
  <sheetData>
    <row r="1" spans="1:35" x14ac:dyDescent="0.3">
      <c r="A1" s="40" t="s">
        <v>0</v>
      </c>
      <c r="B1" s="40" t="s">
        <v>2</v>
      </c>
      <c r="C1" s="40" t="s">
        <v>1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27</v>
      </c>
      <c r="AB1" s="40" t="s">
        <v>26</v>
      </c>
      <c r="AC1" s="40" t="s">
        <v>28</v>
      </c>
      <c r="AD1" s="40" t="s">
        <v>29</v>
      </c>
      <c r="AE1" s="40" t="s">
        <v>30</v>
      </c>
      <c r="AG1" s="40" t="s">
        <v>32</v>
      </c>
      <c r="AH1" s="40" t="s">
        <v>33</v>
      </c>
      <c r="AI1" s="40" t="s">
        <v>34</v>
      </c>
    </row>
    <row r="2" spans="1:35" x14ac:dyDescent="0.3">
      <c r="A2" s="1">
        <v>44743</v>
      </c>
      <c r="B2" s="2">
        <v>77.550003051757798</v>
      </c>
      <c r="C2" s="2">
        <v>846.20001220703102</v>
      </c>
      <c r="D2" s="2">
        <v>2885.64990234375</v>
      </c>
      <c r="E2" s="2">
        <v>70.8992919921875</v>
      </c>
      <c r="F2" s="2">
        <v>476.100006103515</v>
      </c>
      <c r="G2" s="2">
        <v>2225.25</v>
      </c>
      <c r="H2" s="2">
        <v>25.009374618530199</v>
      </c>
      <c r="I2" s="2">
        <v>3437.19995117187</v>
      </c>
      <c r="J2" s="2">
        <v>50.919998168945298</v>
      </c>
      <c r="K2" s="2">
        <v>216.5</v>
      </c>
      <c r="L2" s="2">
        <v>86.489997863769503</v>
      </c>
      <c r="M2" s="2">
        <v>5099.7998046875</v>
      </c>
      <c r="N2" s="2">
        <v>807.20001220703102</v>
      </c>
      <c r="O2" s="2">
        <v>98.849998474121094</v>
      </c>
      <c r="P2" s="2">
        <v>123.97499847412099</v>
      </c>
      <c r="Q2" s="2">
        <v>167.94999694824199</v>
      </c>
      <c r="R2" s="2">
        <v>218.02000427246</v>
      </c>
      <c r="S2" s="2">
        <v>19.4500007629394</v>
      </c>
      <c r="T2" s="2">
        <v>248.23124694824199</v>
      </c>
      <c r="U2" s="2">
        <v>90.254997253417898</v>
      </c>
      <c r="V2" s="2">
        <v>776.29998779296795</v>
      </c>
      <c r="W2" s="2">
        <v>438.625</v>
      </c>
      <c r="X2" s="2">
        <v>461.600006103515</v>
      </c>
      <c r="Y2" s="2">
        <v>1475.80004882812</v>
      </c>
      <c r="Z2" s="2">
        <v>1525.55004882812</v>
      </c>
      <c r="AA2" s="2">
        <v>474.89999389648398</v>
      </c>
      <c r="AB2" s="2">
        <v>617.15002441406205</v>
      </c>
      <c r="AC2" s="2">
        <v>151.225006103515</v>
      </c>
      <c r="AD2" s="2">
        <v>87.285003662109304</v>
      </c>
      <c r="AE2" s="2">
        <v>1187.69995117187</v>
      </c>
      <c r="AG2" s="2">
        <v>15752.0498046875</v>
      </c>
      <c r="AH2" s="2">
        <v>52907.9296875</v>
      </c>
      <c r="AI2" s="2">
        <v>24807.740234375</v>
      </c>
    </row>
    <row r="3" spans="1:35" x14ac:dyDescent="0.3">
      <c r="A3" s="1">
        <v>44746</v>
      </c>
      <c r="B3" s="2">
        <v>77.800003051757798</v>
      </c>
      <c r="C3" s="2">
        <v>834.90002441406205</v>
      </c>
      <c r="D3" s="2">
        <v>2862.55004882812</v>
      </c>
      <c r="E3" s="2">
        <v>73.865928649902301</v>
      </c>
      <c r="F3" s="2">
        <v>495.89999389648398</v>
      </c>
      <c r="G3" s="2">
        <v>2164.39990234375</v>
      </c>
      <c r="H3" s="2">
        <v>25.087499618530199</v>
      </c>
      <c r="I3" s="2">
        <v>3394.94995117187</v>
      </c>
      <c r="J3" s="2">
        <v>51.369998931884702</v>
      </c>
      <c r="K3" s="2">
        <v>220.64999389648401</v>
      </c>
      <c r="L3" s="2">
        <v>85.5</v>
      </c>
      <c r="M3" s="2">
        <v>5096.75</v>
      </c>
      <c r="N3" s="2">
        <v>783.09997558593705</v>
      </c>
      <c r="O3" s="2">
        <v>99.400001525878906</v>
      </c>
      <c r="P3" s="2">
        <v>121.5</v>
      </c>
      <c r="Q3" s="2">
        <v>169.19999694824199</v>
      </c>
      <c r="R3" s="2">
        <v>222.69999694824199</v>
      </c>
      <c r="S3" s="2">
        <v>20.100000381469702</v>
      </c>
      <c r="T3" s="2">
        <v>247.21875</v>
      </c>
      <c r="U3" s="2">
        <v>90.519996643066406</v>
      </c>
      <c r="V3" s="2">
        <v>780.84997558593705</v>
      </c>
      <c r="W3" s="2">
        <v>440.600006103515</v>
      </c>
      <c r="X3" s="2">
        <v>452.29998779296801</v>
      </c>
      <c r="Y3" s="2">
        <v>1468.34997558593</v>
      </c>
      <c r="Z3" s="2">
        <v>1514.59997558593</v>
      </c>
      <c r="AA3" s="2">
        <v>474.75</v>
      </c>
      <c r="AB3" s="2">
        <v>619.95001220703102</v>
      </c>
      <c r="AC3" s="2">
        <v>155.57000732421801</v>
      </c>
      <c r="AD3" s="2">
        <v>85.455001831054602</v>
      </c>
      <c r="AE3" s="2">
        <v>1226.59997558593</v>
      </c>
      <c r="AG3" s="2">
        <v>15835.349609375</v>
      </c>
      <c r="AH3" s="2">
        <v>53234.76953125</v>
      </c>
      <c r="AI3" s="2">
        <v>24954.5390625</v>
      </c>
    </row>
    <row r="4" spans="1:35" x14ac:dyDescent="0.3">
      <c r="A4" s="1">
        <v>44747</v>
      </c>
      <c r="B4" s="2">
        <v>78.400001525878906</v>
      </c>
      <c r="C4" s="2">
        <v>842.04998779296795</v>
      </c>
      <c r="D4" s="2">
        <v>2876.19995117187</v>
      </c>
      <c r="E4" s="2">
        <v>74.56591796875</v>
      </c>
      <c r="F4" s="2">
        <v>487.54998779296801</v>
      </c>
      <c r="G4" s="2">
        <v>2193.30004882812</v>
      </c>
      <c r="H4" s="2">
        <v>24.90625</v>
      </c>
      <c r="I4" s="2">
        <v>3454.69995117187</v>
      </c>
      <c r="J4" s="2">
        <v>51.360000610351499</v>
      </c>
      <c r="K4" s="2">
        <v>218.600006103515</v>
      </c>
      <c r="L4" s="2">
        <v>84.989997863769503</v>
      </c>
      <c r="M4" s="2">
        <v>5110.10009765625</v>
      </c>
      <c r="N4" s="2">
        <v>791.45001220703102</v>
      </c>
      <c r="O4" s="2">
        <v>99</v>
      </c>
      <c r="P4" s="2">
        <v>120.84999847412099</v>
      </c>
      <c r="Q4" s="2">
        <v>166.75</v>
      </c>
      <c r="R4" s="2">
        <v>220.27999877929599</v>
      </c>
      <c r="S4" s="2">
        <v>20.149999618530199</v>
      </c>
      <c r="T4" s="2">
        <v>252.82499694824199</v>
      </c>
      <c r="U4" s="2">
        <v>93.059997558593693</v>
      </c>
      <c r="V4" s="2">
        <v>776.29998779296795</v>
      </c>
      <c r="W4" s="2">
        <v>454.07501220703102</v>
      </c>
      <c r="X4" s="2">
        <v>447.79998779296801</v>
      </c>
      <c r="Y4" s="2">
        <v>1477.40002441406</v>
      </c>
      <c r="Z4" s="2">
        <v>1526.09997558593</v>
      </c>
      <c r="AA4" s="2">
        <v>470.54998779296801</v>
      </c>
      <c r="AB4" s="2">
        <v>614.04998779296795</v>
      </c>
      <c r="AC4" s="2">
        <v>162.77000427246</v>
      </c>
      <c r="AD4" s="2">
        <v>86.014999389648395</v>
      </c>
      <c r="AE4" s="2">
        <v>1241.30004882812</v>
      </c>
      <c r="AG4" s="2">
        <v>15810.849609375</v>
      </c>
      <c r="AH4" s="2">
        <v>53134.3515625</v>
      </c>
      <c r="AI4" s="2">
        <v>25003.900390625</v>
      </c>
    </row>
    <row r="5" spans="1:35" x14ac:dyDescent="0.3">
      <c r="A5" s="1">
        <v>44748</v>
      </c>
      <c r="B5" s="2">
        <v>76.949996948242102</v>
      </c>
      <c r="C5" s="2">
        <v>855.40002441406205</v>
      </c>
      <c r="D5" s="2">
        <v>2875.35009765625</v>
      </c>
      <c r="E5" s="2">
        <v>74.199256896972599</v>
      </c>
      <c r="F5" s="2">
        <v>490.70001220703102</v>
      </c>
      <c r="G5" s="2">
        <v>2231.30004882812</v>
      </c>
      <c r="H5" s="2">
        <v>24.6531257629394</v>
      </c>
      <c r="I5" s="2">
        <v>3537.64990234375</v>
      </c>
      <c r="J5" s="2">
        <v>50.75</v>
      </c>
      <c r="K5" s="2">
        <v>217.350006103515</v>
      </c>
      <c r="L5" s="2">
        <v>86.389999389648395</v>
      </c>
      <c r="M5" s="2">
        <v>5177.75</v>
      </c>
      <c r="N5" s="2">
        <v>810.70001220703102</v>
      </c>
      <c r="O5" s="2">
        <v>98.300003051757798</v>
      </c>
      <c r="P5" s="2">
        <v>122.699996948242</v>
      </c>
      <c r="Q5" s="2">
        <v>164.600006103515</v>
      </c>
      <c r="R5" s="2">
        <v>224.19999694824199</v>
      </c>
      <c r="S5" s="2">
        <v>19.799999237060501</v>
      </c>
      <c r="T5" s="2">
        <v>255.09375</v>
      </c>
      <c r="U5" s="2">
        <v>91.739997863769503</v>
      </c>
      <c r="V5" s="2">
        <v>777.34997558593705</v>
      </c>
      <c r="W5" s="2">
        <v>451.45001220703102</v>
      </c>
      <c r="X5" s="2">
        <v>443.100006103515</v>
      </c>
      <c r="Y5" s="2">
        <v>1499.55004882812</v>
      </c>
      <c r="Z5" s="2">
        <v>1520.55004882812</v>
      </c>
      <c r="AA5" s="2">
        <v>469.39999389648398</v>
      </c>
      <c r="AB5" s="2">
        <v>615.25</v>
      </c>
      <c r="AC5" s="2">
        <v>176.39999389648401</v>
      </c>
      <c r="AD5" s="2">
        <v>85.815002441406193</v>
      </c>
      <c r="AE5" s="2">
        <v>1255.55004882812</v>
      </c>
      <c r="AG5" s="2">
        <v>15989.7998046875</v>
      </c>
      <c r="AH5" s="2">
        <v>53750.96875</v>
      </c>
      <c r="AI5" s="2">
        <v>25239.6796875</v>
      </c>
    </row>
    <row r="6" spans="1:35" x14ac:dyDescent="0.3">
      <c r="A6" s="1">
        <v>44749</v>
      </c>
      <c r="B6" s="2">
        <v>78.150001525878906</v>
      </c>
      <c r="C6" s="2">
        <v>880.09997558593705</v>
      </c>
      <c r="D6" s="2">
        <v>2930.35009765625</v>
      </c>
      <c r="E6" s="2">
        <v>76.099235534667898</v>
      </c>
      <c r="F6" s="2">
        <v>482.95001220703102</v>
      </c>
      <c r="G6" s="2">
        <v>2265.64990234375</v>
      </c>
      <c r="H6" s="2">
        <v>24.399999618530199</v>
      </c>
      <c r="I6" s="2">
        <v>3499.69995117187</v>
      </c>
      <c r="J6" s="2">
        <v>53.5</v>
      </c>
      <c r="K6" s="2">
        <v>224.80000305175699</v>
      </c>
      <c r="L6" s="2">
        <v>86.910003662109304</v>
      </c>
      <c r="M6" s="2">
        <v>5200.10009765625</v>
      </c>
      <c r="N6" s="2">
        <v>862.04998779296795</v>
      </c>
      <c r="O6" s="2">
        <v>99.849998474121094</v>
      </c>
      <c r="P6" s="2">
        <v>121</v>
      </c>
      <c r="Q6" s="2">
        <v>167.80000305175699</v>
      </c>
      <c r="R6" s="2">
        <v>226.97000122070301</v>
      </c>
      <c r="S6" s="2">
        <v>20.25</v>
      </c>
      <c r="T6" s="2">
        <v>258.35626220703102</v>
      </c>
      <c r="U6" s="2">
        <v>92.485000610351506</v>
      </c>
      <c r="V6" s="2">
        <v>805.29998779296795</v>
      </c>
      <c r="W6" s="2">
        <v>454.17498779296801</v>
      </c>
      <c r="X6" s="2">
        <v>438.14999389648398</v>
      </c>
      <c r="Y6" s="2">
        <v>1496.55004882812</v>
      </c>
      <c r="Z6" s="2">
        <v>1530.34997558593</v>
      </c>
      <c r="AA6" s="2">
        <v>470.04998779296801</v>
      </c>
      <c r="AB6" s="2">
        <v>622.40002441406205</v>
      </c>
      <c r="AC6" s="2">
        <v>173</v>
      </c>
      <c r="AD6" s="2">
        <v>90</v>
      </c>
      <c r="AE6" s="2">
        <v>1298.25</v>
      </c>
      <c r="AG6" s="2">
        <v>16132.900390625</v>
      </c>
      <c r="AH6" s="2">
        <v>54178.4609375</v>
      </c>
      <c r="AI6" s="2">
        <v>25568.55078125</v>
      </c>
    </row>
    <row r="7" spans="1:35" x14ac:dyDescent="0.3">
      <c r="A7" s="1">
        <v>44750</v>
      </c>
      <c r="B7" s="2">
        <v>78.400001525878906</v>
      </c>
      <c r="C7" s="2">
        <v>874.95001220703102</v>
      </c>
      <c r="D7" s="2">
        <v>2913.89990234375</v>
      </c>
      <c r="E7" s="2">
        <v>75.932571411132798</v>
      </c>
      <c r="F7" s="2">
        <v>483.54998779296801</v>
      </c>
      <c r="G7" s="2">
        <v>2271.80004882812</v>
      </c>
      <c r="H7" s="2">
        <v>24.446874618530199</v>
      </c>
      <c r="I7" s="2">
        <v>3462.94995117187</v>
      </c>
      <c r="J7" s="2">
        <v>53.259998321533203</v>
      </c>
      <c r="K7" s="2">
        <v>215.69999694824199</v>
      </c>
      <c r="L7" s="2">
        <v>85.870002746582003</v>
      </c>
      <c r="M7" s="2">
        <v>5254.89990234375</v>
      </c>
      <c r="N7" s="2">
        <v>854.09997558593705</v>
      </c>
      <c r="O7" s="2">
        <v>99.599998474121094</v>
      </c>
      <c r="P7" s="2">
        <v>124.375</v>
      </c>
      <c r="Q7" s="2">
        <v>191.30000305175699</v>
      </c>
      <c r="R7" s="2">
        <v>231.80000305175699</v>
      </c>
      <c r="S7" s="2">
        <v>20.149999618530199</v>
      </c>
      <c r="T7" s="2">
        <v>257.8125</v>
      </c>
      <c r="U7" s="2">
        <v>97.105003356933594</v>
      </c>
      <c r="V7" s="2">
        <v>822.70001220703102</v>
      </c>
      <c r="W7" s="2">
        <v>453.39999389648398</v>
      </c>
      <c r="X7" s="2">
        <v>442.350006103515</v>
      </c>
      <c r="Y7" s="2">
        <v>1489.15002441406</v>
      </c>
      <c r="Z7" s="2">
        <v>1520.34997558593</v>
      </c>
      <c r="AA7" s="2">
        <v>461.850006103515</v>
      </c>
      <c r="AB7" s="2">
        <v>620.45001220703102</v>
      </c>
      <c r="AC7" s="2">
        <v>176.18499755859301</v>
      </c>
      <c r="AD7" s="2">
        <v>88.589996337890597</v>
      </c>
      <c r="AE7" s="2">
        <v>1273.40002441406</v>
      </c>
      <c r="AG7" s="2">
        <v>16220.599609375</v>
      </c>
      <c r="AH7" s="2">
        <v>54481.83984375</v>
      </c>
      <c r="AI7" s="2">
        <v>25640.810546875</v>
      </c>
    </row>
    <row r="8" spans="1:35" x14ac:dyDescent="0.3">
      <c r="A8" s="1">
        <v>44753</v>
      </c>
      <c r="B8" s="2">
        <v>79.599998474121094</v>
      </c>
      <c r="C8" s="2">
        <v>888.45001220703102</v>
      </c>
      <c r="D8" s="2">
        <v>2937.55004882812</v>
      </c>
      <c r="E8" s="2">
        <v>76.332565307617102</v>
      </c>
      <c r="F8" s="2">
        <v>483.04998779296801</v>
      </c>
      <c r="G8" s="2">
        <v>2272.94995117187</v>
      </c>
      <c r="H8" s="2">
        <v>24.34375</v>
      </c>
      <c r="I8" s="2">
        <v>3521.85009765625</v>
      </c>
      <c r="J8" s="2">
        <v>56.659999847412102</v>
      </c>
      <c r="K8" s="2">
        <v>213.05000305175699</v>
      </c>
      <c r="L8" s="2">
        <v>86.690002441406193</v>
      </c>
      <c r="M8" s="2">
        <v>5221.9501953125</v>
      </c>
      <c r="N8" s="2">
        <v>878.20001220703102</v>
      </c>
      <c r="O8" s="2">
        <v>101.400001525878</v>
      </c>
      <c r="P8" s="2">
        <v>125.97499847412099</v>
      </c>
      <c r="Q8" s="2">
        <v>191.350006103515</v>
      </c>
      <c r="R8" s="2">
        <v>235.21000671386699</v>
      </c>
      <c r="S8" s="2">
        <v>20.25</v>
      </c>
      <c r="T8" s="2">
        <v>250.55624389648401</v>
      </c>
      <c r="U8" s="2">
        <v>94.910003662109304</v>
      </c>
      <c r="V8" s="2">
        <v>865.40002441406205</v>
      </c>
      <c r="W8" s="2">
        <v>448.600006103515</v>
      </c>
      <c r="X8" s="2">
        <v>444.100006103515</v>
      </c>
      <c r="Y8" s="2">
        <v>1496.05004882812</v>
      </c>
      <c r="Z8" s="2">
        <v>1516.55004882812</v>
      </c>
      <c r="AA8" s="2">
        <v>460.79998779296801</v>
      </c>
      <c r="AB8" s="2">
        <v>622.09997558593705</v>
      </c>
      <c r="AC8" s="2">
        <v>180.375</v>
      </c>
      <c r="AD8" s="2">
        <v>91.275001525878906</v>
      </c>
      <c r="AE8" s="2">
        <v>1265.30004882812</v>
      </c>
      <c r="AG8" s="2">
        <v>16216</v>
      </c>
      <c r="AH8" s="2">
        <v>54395.23046875</v>
      </c>
      <c r="AI8" s="2">
        <v>25916.41015625</v>
      </c>
    </row>
    <row r="9" spans="1:35" x14ac:dyDescent="0.3">
      <c r="A9" s="1">
        <v>44754</v>
      </c>
      <c r="B9" s="2">
        <v>80.300003051757798</v>
      </c>
      <c r="C9" s="2">
        <v>860.15002441406205</v>
      </c>
      <c r="D9" s="2">
        <v>3102.39990234375</v>
      </c>
      <c r="E9" s="2">
        <v>77.065895080566406</v>
      </c>
      <c r="F9" s="2">
        <v>467.54998779296801</v>
      </c>
      <c r="G9" s="2">
        <v>2313.30004882812</v>
      </c>
      <c r="H9" s="2">
        <v>24.015625</v>
      </c>
      <c r="I9" s="2">
        <v>3487.05004882812</v>
      </c>
      <c r="J9" s="2">
        <v>55.360000610351499</v>
      </c>
      <c r="K9" s="2">
        <v>208.89999389648401</v>
      </c>
      <c r="L9" s="2">
        <v>85.029998779296804</v>
      </c>
      <c r="M9" s="2">
        <v>5203.39990234375</v>
      </c>
      <c r="N9" s="2">
        <v>871.40002441406205</v>
      </c>
      <c r="O9" s="2">
        <v>100.050003051757</v>
      </c>
      <c r="P9" s="2">
        <v>127.025001525878</v>
      </c>
      <c r="Q9" s="2">
        <v>196.69999694824199</v>
      </c>
      <c r="R9" s="2">
        <v>234.03999328613199</v>
      </c>
      <c r="S9" s="2">
        <v>21.25</v>
      </c>
      <c r="T9" s="2">
        <v>250.5</v>
      </c>
      <c r="U9" s="2">
        <v>94.639999389648395</v>
      </c>
      <c r="V9" s="2">
        <v>843.29998779296795</v>
      </c>
      <c r="W9" s="2">
        <v>452.725006103515</v>
      </c>
      <c r="X9" s="2">
        <v>445.5</v>
      </c>
      <c r="Y9" s="2">
        <v>1466.40002441406</v>
      </c>
      <c r="Z9" s="2">
        <v>1505.69995117187</v>
      </c>
      <c r="AA9" s="2">
        <v>470.14999389648398</v>
      </c>
      <c r="AB9" s="2">
        <v>618.84997558593705</v>
      </c>
      <c r="AC9" s="2">
        <v>177.75</v>
      </c>
      <c r="AD9" s="2">
        <v>90.209999084472599</v>
      </c>
      <c r="AE9" s="2">
        <v>1280.59997558593</v>
      </c>
      <c r="AG9" s="2">
        <v>16058.2998046875</v>
      </c>
      <c r="AH9" s="2">
        <v>53886.609375</v>
      </c>
      <c r="AI9" s="2">
        <v>25781.41015625</v>
      </c>
    </row>
    <row r="10" spans="1:35" x14ac:dyDescent="0.3">
      <c r="A10" s="1">
        <v>44755</v>
      </c>
      <c r="B10" s="2">
        <v>82.849998474121094</v>
      </c>
      <c r="C10" s="2">
        <v>866.90002441406205</v>
      </c>
      <c r="D10" s="2">
        <v>3092.35009765625</v>
      </c>
      <c r="E10" s="2">
        <v>76.665901184082003</v>
      </c>
      <c r="F10" s="2">
        <v>463.64999389648398</v>
      </c>
      <c r="G10" s="2">
        <v>2322.69995117187</v>
      </c>
      <c r="H10" s="2">
        <v>23.615625381469702</v>
      </c>
      <c r="I10" s="2">
        <v>3447.05004882812</v>
      </c>
      <c r="J10" s="2">
        <v>53.810001373291001</v>
      </c>
      <c r="K10" s="2">
        <v>205.30000305175699</v>
      </c>
      <c r="L10" s="2">
        <v>86.5</v>
      </c>
      <c r="M10" s="2">
        <v>5239.7001953125</v>
      </c>
      <c r="N10" s="2">
        <v>851.04998779296795</v>
      </c>
      <c r="O10" s="2">
        <v>99.849998474121094</v>
      </c>
      <c r="P10" s="2">
        <v>124.97499847412099</v>
      </c>
      <c r="Q10" s="2">
        <v>201.100006103515</v>
      </c>
      <c r="R10" s="2">
        <v>231.419998168945</v>
      </c>
      <c r="S10" s="2">
        <v>22.299999237060501</v>
      </c>
      <c r="T10" s="2">
        <v>248.88749694824199</v>
      </c>
      <c r="U10" s="2">
        <v>93.394996643066406</v>
      </c>
      <c r="V10" s="2">
        <v>858.54998779296795</v>
      </c>
      <c r="W10" s="2">
        <v>466.67498779296801</v>
      </c>
      <c r="X10" s="2">
        <v>463.89999389648398</v>
      </c>
      <c r="Y10" s="2">
        <v>1476.65002441406</v>
      </c>
      <c r="Z10" s="2">
        <v>1513.5</v>
      </c>
      <c r="AA10" s="2">
        <v>488.850006103515</v>
      </c>
      <c r="AB10" s="2">
        <v>617.15002441406205</v>
      </c>
      <c r="AC10" s="2">
        <v>174.38000488281199</v>
      </c>
      <c r="AD10" s="2">
        <v>90.485000610351506</v>
      </c>
      <c r="AE10" s="2">
        <v>1286.5</v>
      </c>
      <c r="AG10" s="2">
        <v>15966.650390625</v>
      </c>
      <c r="AH10" s="2">
        <v>53514.1484375</v>
      </c>
      <c r="AI10" s="2">
        <v>25790.7109375</v>
      </c>
    </row>
    <row r="11" spans="1:35" x14ac:dyDescent="0.3">
      <c r="A11" s="1">
        <v>44756</v>
      </c>
      <c r="B11" s="2">
        <v>80.25</v>
      </c>
      <c r="C11" s="2">
        <v>860.54998779296795</v>
      </c>
      <c r="D11" s="2">
        <v>3052.14990234375</v>
      </c>
      <c r="E11" s="2">
        <v>76.065902709960895</v>
      </c>
      <c r="F11" s="2">
        <v>463.29998779296801</v>
      </c>
      <c r="G11" s="2">
        <v>2318.94995117187</v>
      </c>
      <c r="H11" s="2">
        <v>23.709375381469702</v>
      </c>
      <c r="I11" s="2">
        <v>3410.05004882812</v>
      </c>
      <c r="J11" s="2">
        <v>52.740001678466797</v>
      </c>
      <c r="K11" s="2">
        <v>205.850006103515</v>
      </c>
      <c r="L11" s="2">
        <v>86.550003051757798</v>
      </c>
      <c r="M11" s="2">
        <v>5241.2001953125</v>
      </c>
      <c r="N11" s="2">
        <v>854.70001220703102</v>
      </c>
      <c r="O11" s="2">
        <v>99.150001525878906</v>
      </c>
      <c r="P11" s="2">
        <v>124</v>
      </c>
      <c r="Q11" s="2">
        <v>194.350006103515</v>
      </c>
      <c r="R11" s="2">
        <v>234.5</v>
      </c>
      <c r="S11" s="2">
        <v>23.399999618530199</v>
      </c>
      <c r="T11" s="2">
        <v>249.225006103515</v>
      </c>
      <c r="U11" s="2">
        <v>92.864997863769503</v>
      </c>
      <c r="V11" s="2">
        <v>845.45001220703102</v>
      </c>
      <c r="W11" s="2">
        <v>454.850006103515</v>
      </c>
      <c r="X11" s="2">
        <v>465.64999389648398</v>
      </c>
      <c r="Y11" s="2">
        <v>1466.44995117187</v>
      </c>
      <c r="Z11" s="2">
        <v>1500.25</v>
      </c>
      <c r="AA11" s="2">
        <v>467.29998779296801</v>
      </c>
      <c r="AB11" s="2">
        <v>619.09997558593705</v>
      </c>
      <c r="AC11" s="2">
        <v>175.5</v>
      </c>
      <c r="AD11" s="2">
        <v>90.800003051757798</v>
      </c>
      <c r="AE11" s="2">
        <v>1270.5</v>
      </c>
      <c r="AG11" s="2">
        <v>15938.650390625</v>
      </c>
      <c r="AH11" s="2">
        <v>53416.1484375</v>
      </c>
      <c r="AI11" s="2">
        <v>25645.6796875</v>
      </c>
    </row>
    <row r="12" spans="1:35" x14ac:dyDescent="0.3">
      <c r="A12" s="1">
        <v>44757</v>
      </c>
      <c r="B12" s="2">
        <v>79.75</v>
      </c>
      <c r="C12" s="2">
        <v>868.95001220703102</v>
      </c>
      <c r="D12" s="2">
        <v>3004.30004882812</v>
      </c>
      <c r="E12" s="2">
        <v>74.865913391113196</v>
      </c>
      <c r="F12" s="2">
        <v>462.79998779296801</v>
      </c>
      <c r="G12" s="2">
        <v>2307.5</v>
      </c>
      <c r="H12" s="2">
        <v>23.521875381469702</v>
      </c>
      <c r="I12" s="2">
        <v>3332.19995117187</v>
      </c>
      <c r="J12" s="2">
        <v>52.389999389648402</v>
      </c>
      <c r="K12" s="2">
        <v>203.19999694824199</v>
      </c>
      <c r="L12" s="2">
        <v>85.720001220703097</v>
      </c>
      <c r="M12" s="2">
        <v>5158.9501953125</v>
      </c>
      <c r="N12" s="2">
        <v>866.90002441406205</v>
      </c>
      <c r="O12" s="2">
        <v>98.900001525878906</v>
      </c>
      <c r="P12" s="2">
        <v>122.47499847412099</v>
      </c>
      <c r="Q12" s="2">
        <v>187.14999389648401</v>
      </c>
      <c r="R12" s="2">
        <v>236.13000488281199</v>
      </c>
      <c r="S12" s="2">
        <v>22.299999237060501</v>
      </c>
      <c r="T12" s="2">
        <v>247.068756103515</v>
      </c>
      <c r="U12" s="2">
        <v>92.315002441406193</v>
      </c>
      <c r="V12" s="2">
        <v>841.84997558593705</v>
      </c>
      <c r="W12" s="2">
        <v>445.29998779296801</v>
      </c>
      <c r="X12" s="2">
        <v>460.54998779296801</v>
      </c>
      <c r="Y12" s="2">
        <v>1445.69995117187</v>
      </c>
      <c r="Z12" s="2">
        <v>1499.90002441406</v>
      </c>
      <c r="AA12" s="2">
        <v>464</v>
      </c>
      <c r="AB12" s="2">
        <v>618.29998779296795</v>
      </c>
      <c r="AC12" s="2">
        <v>178.16000366210901</v>
      </c>
      <c r="AD12" s="2">
        <v>88.379997253417898</v>
      </c>
      <c r="AE12" s="2">
        <v>1274.34997558593</v>
      </c>
      <c r="AG12" s="2">
        <v>16049.2001953125</v>
      </c>
      <c r="AH12" s="2">
        <v>53760.78125</v>
      </c>
      <c r="AI12" s="2">
        <v>25779.560546875</v>
      </c>
    </row>
    <row r="13" spans="1:35" x14ac:dyDescent="0.3">
      <c r="A13" s="1">
        <v>44760</v>
      </c>
      <c r="B13" s="2">
        <v>80.75</v>
      </c>
      <c r="C13" s="2">
        <v>881.84997558593705</v>
      </c>
      <c r="D13" s="2">
        <v>3030.69995117187</v>
      </c>
      <c r="E13" s="2">
        <v>71.4326171875</v>
      </c>
      <c r="F13" s="2">
        <v>473.100006103515</v>
      </c>
      <c r="G13" s="2">
        <v>2303.44995117187</v>
      </c>
      <c r="H13" s="2">
        <v>25.221874237060501</v>
      </c>
      <c r="I13" s="2">
        <v>3329.80004882812</v>
      </c>
      <c r="J13" s="2">
        <v>54.180000305175703</v>
      </c>
      <c r="K13" s="2">
        <v>201.350006103515</v>
      </c>
      <c r="L13" s="2">
        <v>85.690002441406193</v>
      </c>
      <c r="M13" s="2">
        <v>5200.39990234375</v>
      </c>
      <c r="N13" s="2">
        <v>880.15002441406205</v>
      </c>
      <c r="O13" s="2">
        <v>99.349998474121094</v>
      </c>
      <c r="P13" s="2">
        <v>127.525001525878</v>
      </c>
      <c r="Q13" s="2">
        <v>192.600006103515</v>
      </c>
      <c r="R13" s="2">
        <v>245.11000061035099</v>
      </c>
      <c r="S13" s="2">
        <v>23</v>
      </c>
      <c r="T13" s="2">
        <v>248.17500305175699</v>
      </c>
      <c r="U13" s="2">
        <v>91.949996948242102</v>
      </c>
      <c r="V13" s="2">
        <v>850.09997558593705</v>
      </c>
      <c r="W13" s="2">
        <v>439.600006103515</v>
      </c>
      <c r="X13" s="2">
        <v>459.95001220703102</v>
      </c>
      <c r="Y13" s="2">
        <v>1469.5</v>
      </c>
      <c r="Z13" s="2">
        <v>1499.90002441406</v>
      </c>
      <c r="AA13" s="2">
        <v>471.89999389648398</v>
      </c>
      <c r="AB13" s="2">
        <v>620.95001220703102</v>
      </c>
      <c r="AC13" s="2">
        <v>184.52000427246</v>
      </c>
      <c r="AD13" s="2">
        <v>90.430000305175696</v>
      </c>
      <c r="AE13" s="2">
        <v>1279.75</v>
      </c>
      <c r="AG13" s="2">
        <v>16278.5</v>
      </c>
      <c r="AH13" s="2">
        <v>54521.1484375</v>
      </c>
      <c r="AI13" s="2">
        <v>26137.130859375</v>
      </c>
    </row>
    <row r="14" spans="1:35" x14ac:dyDescent="0.3">
      <c r="A14" s="1">
        <v>44761</v>
      </c>
      <c r="B14" s="2">
        <v>81.699996948242102</v>
      </c>
      <c r="C14" s="2">
        <v>905</v>
      </c>
      <c r="D14" s="2">
        <v>3088.14990234375</v>
      </c>
      <c r="E14" s="2">
        <v>70.965957641601506</v>
      </c>
      <c r="F14" s="2">
        <v>472.04998779296801</v>
      </c>
      <c r="G14" s="2">
        <v>2380.14990234375</v>
      </c>
      <c r="H14" s="2">
        <v>24.828125</v>
      </c>
      <c r="I14" s="2">
        <v>3349.89990234375</v>
      </c>
      <c r="J14" s="2">
        <v>56.700000762939403</v>
      </c>
      <c r="K14" s="2">
        <v>206.25</v>
      </c>
      <c r="L14" s="2">
        <v>86.489997863769503</v>
      </c>
      <c r="M14" s="2">
        <v>5261.5498046875</v>
      </c>
      <c r="N14" s="2">
        <v>941.15002441406205</v>
      </c>
      <c r="O14" s="2">
        <v>100.650001525878</v>
      </c>
      <c r="P14" s="2">
        <v>130.850006103515</v>
      </c>
      <c r="Q14" s="2">
        <v>202.600006103515</v>
      </c>
      <c r="R14" s="2">
        <v>239.44000244140599</v>
      </c>
      <c r="S14" s="2">
        <v>23.25</v>
      </c>
      <c r="T14" s="2">
        <v>251.08125305175699</v>
      </c>
      <c r="U14" s="2">
        <v>94.75</v>
      </c>
      <c r="V14" s="2">
        <v>857.34997558593705</v>
      </c>
      <c r="W14" s="2">
        <v>441.67498779296801</v>
      </c>
      <c r="X14" s="2">
        <v>467.14999389648398</v>
      </c>
      <c r="Y14" s="2">
        <v>1478.65002441406</v>
      </c>
      <c r="Z14" s="2">
        <v>1491.80004882812</v>
      </c>
      <c r="AA14" s="2">
        <v>457.600006103515</v>
      </c>
      <c r="AB14" s="2">
        <v>618.75</v>
      </c>
      <c r="AC14" s="2">
        <v>185.34500122070301</v>
      </c>
      <c r="AD14" s="2">
        <v>91.944999694824205</v>
      </c>
      <c r="AE14" s="2">
        <v>1323.55004882812</v>
      </c>
      <c r="AG14" s="2">
        <v>16340.5498046875</v>
      </c>
      <c r="AH14" s="2">
        <v>54767.62109375</v>
      </c>
      <c r="AI14" s="2">
        <v>26367.490234375</v>
      </c>
    </row>
    <row r="15" spans="1:35" x14ac:dyDescent="0.3">
      <c r="A15" s="1">
        <v>44762</v>
      </c>
      <c r="B15" s="2">
        <v>83.5</v>
      </c>
      <c r="C15" s="2">
        <v>926.70001220703102</v>
      </c>
      <c r="D15" s="2">
        <v>3123.44995117187</v>
      </c>
      <c r="E15" s="2">
        <v>72.132614135742102</v>
      </c>
      <c r="F15" s="2">
        <v>477.79998779296801</v>
      </c>
      <c r="G15" s="2">
        <v>2398.5</v>
      </c>
      <c r="H15" s="2">
        <v>24.987499237060501</v>
      </c>
      <c r="I15" s="2">
        <v>3325.69995117187</v>
      </c>
      <c r="J15" s="2">
        <v>55.650001525878899</v>
      </c>
      <c r="K15" s="2">
        <v>205.05000305175699</v>
      </c>
      <c r="L15" s="2">
        <v>87.940002441406193</v>
      </c>
      <c r="M15" s="2">
        <v>5307.5</v>
      </c>
      <c r="N15" s="2">
        <v>935.20001220703102</v>
      </c>
      <c r="O15" s="2">
        <v>103.699996948242</v>
      </c>
      <c r="P15" s="2">
        <v>129.94999694824199</v>
      </c>
      <c r="Q15" s="2">
        <v>242.14999389648401</v>
      </c>
      <c r="R15" s="2">
        <v>233.80999755859301</v>
      </c>
      <c r="S15" s="2">
        <v>24.399999618530199</v>
      </c>
      <c r="T15" s="2">
        <v>255.63749694824199</v>
      </c>
      <c r="U15" s="2">
        <v>95.449996948242102</v>
      </c>
      <c r="V15" s="2">
        <v>865</v>
      </c>
      <c r="W15" s="2">
        <v>439.42498779296801</v>
      </c>
      <c r="X15" s="2">
        <v>463.100006103515</v>
      </c>
      <c r="Y15" s="2">
        <v>1478.94995117187</v>
      </c>
      <c r="Z15" s="2">
        <v>1517.44995117187</v>
      </c>
      <c r="AA15" s="2">
        <v>500.39999389648398</v>
      </c>
      <c r="AB15" s="2">
        <v>621.84997558593705</v>
      </c>
      <c r="AC15" s="2">
        <v>191.134994506835</v>
      </c>
      <c r="AD15" s="2">
        <v>92.845001220703097</v>
      </c>
      <c r="AE15" s="2">
        <v>1304.19995117187</v>
      </c>
      <c r="AG15" s="2">
        <v>16520.849609375</v>
      </c>
      <c r="AH15" s="2">
        <v>55397.53125</v>
      </c>
      <c r="AI15" s="2">
        <v>26477.849609375</v>
      </c>
    </row>
    <row r="16" spans="1:35" x14ac:dyDescent="0.3">
      <c r="A16" s="1">
        <v>44763</v>
      </c>
      <c r="B16" s="2">
        <v>81.550003051757798</v>
      </c>
      <c r="C16" s="2">
        <v>924</v>
      </c>
      <c r="D16" s="2">
        <v>3125.75</v>
      </c>
      <c r="E16" s="2">
        <v>71.865943908691406</v>
      </c>
      <c r="F16" s="2">
        <v>479.70001220703102</v>
      </c>
      <c r="G16" s="2">
        <v>2365.5</v>
      </c>
      <c r="H16" s="2">
        <v>25.021875381469702</v>
      </c>
      <c r="I16" s="2">
        <v>3352.30004882812</v>
      </c>
      <c r="J16" s="2">
        <v>55.029998779296797</v>
      </c>
      <c r="K16" s="2">
        <v>203.75</v>
      </c>
      <c r="L16" s="2">
        <v>93.010002136230398</v>
      </c>
      <c r="M16" s="2">
        <v>5342.9501953125</v>
      </c>
      <c r="N16" s="2">
        <v>926.09997558593705</v>
      </c>
      <c r="O16" s="2">
        <v>108.150001525878</v>
      </c>
      <c r="P16" s="2">
        <v>128.64999389648401</v>
      </c>
      <c r="Q16" s="2">
        <v>230.75</v>
      </c>
      <c r="R16" s="2">
        <v>242.009994506835</v>
      </c>
      <c r="S16" s="2">
        <v>23.649999618530199</v>
      </c>
      <c r="T16" s="2">
        <v>268.03125</v>
      </c>
      <c r="U16" s="2">
        <v>94.714996337890597</v>
      </c>
      <c r="V16" s="2">
        <v>868.20001220703102</v>
      </c>
      <c r="W16" s="2">
        <v>447.350006103515</v>
      </c>
      <c r="X16" s="2">
        <v>460.850006103515</v>
      </c>
      <c r="Y16" s="2">
        <v>1470.65002441406</v>
      </c>
      <c r="Z16" s="2">
        <v>1518.30004882812</v>
      </c>
      <c r="AA16" s="2">
        <v>498.29998779296801</v>
      </c>
      <c r="AB16" s="2">
        <v>610.15002441406205</v>
      </c>
      <c r="AC16" s="2">
        <v>188.82000732421801</v>
      </c>
      <c r="AD16" s="2">
        <v>93.430000305175696</v>
      </c>
      <c r="AE16" s="2">
        <v>1298.25</v>
      </c>
      <c r="AG16" s="2">
        <v>16605.25</v>
      </c>
      <c r="AH16" s="2">
        <v>55681.94921875</v>
      </c>
      <c r="AI16" s="2">
        <v>26716.560546875</v>
      </c>
    </row>
    <row r="17" spans="1:35" x14ac:dyDescent="0.3">
      <c r="A17" s="1">
        <v>44764</v>
      </c>
      <c r="B17" s="2">
        <v>83.199996948242102</v>
      </c>
      <c r="C17" s="2">
        <v>906.79998779296795</v>
      </c>
      <c r="D17" s="2">
        <v>3320.30004882812</v>
      </c>
      <c r="E17" s="2">
        <v>71.265953063964801</v>
      </c>
      <c r="F17" s="2">
        <v>488</v>
      </c>
      <c r="G17" s="2">
        <v>2426.60009765625</v>
      </c>
      <c r="H17" s="2">
        <v>25.253124237060501</v>
      </c>
      <c r="I17" s="2">
        <v>3329.14990234375</v>
      </c>
      <c r="J17" s="2">
        <v>55.259998321533203</v>
      </c>
      <c r="K17" s="2">
        <v>203.05000305175699</v>
      </c>
      <c r="L17" s="2">
        <v>94.589996337890597</v>
      </c>
      <c r="M17" s="2">
        <v>5428.25</v>
      </c>
      <c r="N17" s="2">
        <v>931.65002441406205</v>
      </c>
      <c r="O17" s="2">
        <v>106.09999847412099</v>
      </c>
      <c r="P17" s="2">
        <v>126.699996948242</v>
      </c>
      <c r="Q17" s="2">
        <v>276.89999389648398</v>
      </c>
      <c r="R17" s="2">
        <v>236.350006103515</v>
      </c>
      <c r="S17" s="2">
        <v>24.049999237060501</v>
      </c>
      <c r="T17" s="2">
        <v>270.05624389648398</v>
      </c>
      <c r="U17" s="2">
        <v>97.775001525878906</v>
      </c>
      <c r="V17" s="2">
        <v>884.45001220703102</v>
      </c>
      <c r="W17" s="2">
        <v>443.95001220703102</v>
      </c>
      <c r="X17" s="2">
        <v>467</v>
      </c>
      <c r="Y17" s="2">
        <v>1484.40002441406</v>
      </c>
      <c r="Z17" s="2">
        <v>1577.55004882812</v>
      </c>
      <c r="AA17" s="2">
        <v>484.04998779296801</v>
      </c>
      <c r="AB17" s="2">
        <v>616.45001220703102</v>
      </c>
      <c r="AC17" s="2">
        <v>185.99000549316401</v>
      </c>
      <c r="AD17" s="2">
        <v>93.605003356933594</v>
      </c>
      <c r="AE17" s="2">
        <v>1303.69995117187</v>
      </c>
      <c r="AG17" s="2">
        <v>16719.44921875</v>
      </c>
      <c r="AH17" s="2">
        <v>56072.23046875</v>
      </c>
      <c r="AI17" s="2">
        <v>26773.41015625</v>
      </c>
    </row>
    <row r="18" spans="1:35" x14ac:dyDescent="0.3">
      <c r="A18" s="1">
        <v>44767</v>
      </c>
      <c r="B18" s="2">
        <v>82.900001525878906</v>
      </c>
      <c r="C18" s="2">
        <v>926.40002441406205</v>
      </c>
      <c r="D18" s="2">
        <v>3431.5</v>
      </c>
      <c r="E18" s="2">
        <v>71.799278259277301</v>
      </c>
      <c r="F18" s="2">
        <v>474.14999389648398</v>
      </c>
      <c r="G18" s="2">
        <v>2436.39990234375</v>
      </c>
      <c r="H18" s="2">
        <v>25.159374237060501</v>
      </c>
      <c r="I18" s="2">
        <v>3337.94995117187</v>
      </c>
      <c r="J18" s="2">
        <v>56.610000610351499</v>
      </c>
      <c r="K18" s="2">
        <v>202.5</v>
      </c>
      <c r="L18" s="2">
        <v>97.599998474121094</v>
      </c>
      <c r="M18" s="2">
        <v>5446.5498046875</v>
      </c>
      <c r="N18" s="2">
        <v>926</v>
      </c>
      <c r="O18" s="2">
        <v>104.949996948242</v>
      </c>
      <c r="P18" s="2">
        <v>127</v>
      </c>
      <c r="Q18" s="2">
        <v>273.70001220703102</v>
      </c>
      <c r="R18" s="2">
        <v>239.91000366210901</v>
      </c>
      <c r="S18" s="2">
        <v>23.649999618530199</v>
      </c>
      <c r="T18" s="2">
        <v>279.84375</v>
      </c>
      <c r="U18" s="2">
        <v>93.385002136230398</v>
      </c>
      <c r="V18" s="2">
        <v>892.95001220703102</v>
      </c>
      <c r="W18" s="2">
        <v>432.45001220703102</v>
      </c>
      <c r="X18" s="2">
        <v>475.95001220703102</v>
      </c>
      <c r="Y18" s="2">
        <v>1629.40002441406</v>
      </c>
      <c r="Z18" s="2">
        <v>1607.44995117187</v>
      </c>
      <c r="AA18" s="2">
        <v>519.04998779296795</v>
      </c>
      <c r="AB18" s="2">
        <v>621.90002441406205</v>
      </c>
      <c r="AC18" s="2">
        <v>181.68499755859301</v>
      </c>
      <c r="AD18" s="2">
        <v>96.069999694824205</v>
      </c>
      <c r="AE18" s="2">
        <v>1326.44995117187</v>
      </c>
      <c r="AG18" s="2">
        <v>16631</v>
      </c>
      <c r="AH18" s="2">
        <v>55766.21875</v>
      </c>
      <c r="AI18" s="2">
        <v>26739.140625</v>
      </c>
    </row>
    <row r="19" spans="1:35" x14ac:dyDescent="0.3">
      <c r="A19" s="1">
        <v>44768</v>
      </c>
      <c r="B19" s="2">
        <v>85</v>
      </c>
      <c r="C19" s="2">
        <v>901.45001220703102</v>
      </c>
      <c r="D19" s="2">
        <v>3279.25</v>
      </c>
      <c r="E19" s="2">
        <v>70.999290466308594</v>
      </c>
      <c r="F19" s="2">
        <v>470.5</v>
      </c>
      <c r="G19" s="2">
        <v>2405.05004882812</v>
      </c>
      <c r="H19" s="2">
        <v>25.181249618530199</v>
      </c>
      <c r="I19" s="2">
        <v>3268.10009765625</v>
      </c>
      <c r="J19" s="2">
        <v>55.330001831054602</v>
      </c>
      <c r="K19" s="2">
        <v>200.25</v>
      </c>
      <c r="L19" s="2">
        <v>98.709999084472599</v>
      </c>
      <c r="M19" s="2">
        <v>5404.2998046875</v>
      </c>
      <c r="N19" s="2">
        <v>929.5</v>
      </c>
      <c r="O19" s="2">
        <v>102.59999847412099</v>
      </c>
      <c r="P19" s="2">
        <v>125.775001525878</v>
      </c>
      <c r="Q19" s="2">
        <v>259.89999389648398</v>
      </c>
      <c r="R19" s="2">
        <v>236.67999267578099</v>
      </c>
      <c r="S19" s="2">
        <v>22.549999237060501</v>
      </c>
      <c r="T19" s="2">
        <v>259.3125</v>
      </c>
      <c r="U19" s="2">
        <v>91.980003356933594</v>
      </c>
      <c r="V19" s="2">
        <v>864.29998779296795</v>
      </c>
      <c r="W19" s="2">
        <v>438.75</v>
      </c>
      <c r="X19" s="2">
        <v>471.54998779296801</v>
      </c>
      <c r="Y19" s="2">
        <v>1619</v>
      </c>
      <c r="Z19" s="2">
        <v>1571</v>
      </c>
      <c r="AA19" s="2">
        <v>509.600006103515</v>
      </c>
      <c r="AB19" s="2">
        <v>620.29998779296795</v>
      </c>
      <c r="AC19" s="2">
        <v>181.375</v>
      </c>
      <c r="AD19" s="2">
        <v>94.949996948242102</v>
      </c>
      <c r="AE19" s="2">
        <v>1278.84997558593</v>
      </c>
      <c r="AG19" s="2">
        <v>16483.849609375</v>
      </c>
      <c r="AH19" s="2">
        <v>55268.48828125</v>
      </c>
      <c r="AI19" s="2">
        <v>26417.91015625</v>
      </c>
    </row>
    <row r="20" spans="1:35" x14ac:dyDescent="0.3">
      <c r="A20" s="1">
        <v>44769</v>
      </c>
      <c r="B20" s="2">
        <v>84.5</v>
      </c>
      <c r="C20" s="2">
        <v>912</v>
      </c>
      <c r="D20" s="2">
        <v>3325.05004882812</v>
      </c>
      <c r="E20" s="2">
        <v>71.099288940429602</v>
      </c>
      <c r="F20" s="2">
        <v>472.350006103515</v>
      </c>
      <c r="G20" s="2">
        <v>2411.60009765625</v>
      </c>
      <c r="H20" s="2">
        <v>25.6062507629394</v>
      </c>
      <c r="I20" s="2">
        <v>3309.85009765625</v>
      </c>
      <c r="J20" s="2">
        <v>56.4799995422363</v>
      </c>
      <c r="K20" s="2">
        <v>202.55000305175699</v>
      </c>
      <c r="L20" s="2">
        <v>110.23999786376901</v>
      </c>
      <c r="M20" s="2">
        <v>5405.4501953125</v>
      </c>
      <c r="N20" s="2">
        <v>910.65002441406205</v>
      </c>
      <c r="O20" s="2">
        <v>101.300003051757</v>
      </c>
      <c r="P20" s="2">
        <v>125.75</v>
      </c>
      <c r="Q20" s="2">
        <v>252.14999389648401</v>
      </c>
      <c r="R20" s="2">
        <v>234.53999328613199</v>
      </c>
      <c r="S20" s="2">
        <v>22.5</v>
      </c>
      <c r="T20" s="2">
        <v>262.95001220703102</v>
      </c>
      <c r="U20" s="2">
        <v>91.209999084472599</v>
      </c>
      <c r="V20" s="2">
        <v>855.04998779296795</v>
      </c>
      <c r="W20" s="2">
        <v>439.54998779296801</v>
      </c>
      <c r="X20" s="2">
        <v>470</v>
      </c>
      <c r="Y20" s="2">
        <v>1629.15002441406</v>
      </c>
      <c r="Z20" s="2">
        <v>1567.94995117187</v>
      </c>
      <c r="AA20" s="2">
        <v>494.89999389648398</v>
      </c>
      <c r="AB20" s="2">
        <v>624.54998779296795</v>
      </c>
      <c r="AC20" s="2">
        <v>180.25</v>
      </c>
      <c r="AD20" s="2">
        <v>95.940002441406193</v>
      </c>
      <c r="AE20" s="2">
        <v>1275.80004882812</v>
      </c>
      <c r="AG20" s="2">
        <v>16641.80078125</v>
      </c>
      <c r="AH20" s="2">
        <v>55816.3203125</v>
      </c>
      <c r="AI20" s="2">
        <v>26517.80078125</v>
      </c>
    </row>
    <row r="21" spans="1:35" x14ac:dyDescent="0.3">
      <c r="A21" s="1">
        <v>44770</v>
      </c>
      <c r="B21" s="2">
        <v>84.449996948242102</v>
      </c>
      <c r="C21" s="2">
        <v>925.90002441406205</v>
      </c>
      <c r="D21" s="2">
        <v>3351.35009765625</v>
      </c>
      <c r="E21" s="2">
        <v>71.299285888671804</v>
      </c>
      <c r="F21" s="2">
        <v>468.600006103515</v>
      </c>
      <c r="G21" s="2">
        <v>2432.39990234375</v>
      </c>
      <c r="H21" s="2">
        <v>25.774999618530199</v>
      </c>
      <c r="I21" s="2">
        <v>3323.44995117187</v>
      </c>
      <c r="J21" s="2">
        <v>56.279998779296797</v>
      </c>
      <c r="K21" s="2">
        <v>203.600006103515</v>
      </c>
      <c r="L21" s="2">
        <v>105.970001220703</v>
      </c>
      <c r="M21" s="2">
        <v>5492.25</v>
      </c>
      <c r="N21" s="2">
        <v>917.90002441406205</v>
      </c>
      <c r="O21" s="2">
        <v>101.949996948242</v>
      </c>
      <c r="P21" s="2">
        <v>127.84999847412099</v>
      </c>
      <c r="Q21" s="2">
        <v>256.350006103515</v>
      </c>
      <c r="R21" s="2">
        <v>236.94999694824199</v>
      </c>
      <c r="S21" s="2">
        <v>22.649999618530199</v>
      </c>
      <c r="T21" s="2">
        <v>262.537506103515</v>
      </c>
      <c r="U21" s="2">
        <v>91.269996643066406</v>
      </c>
      <c r="V21" s="2">
        <v>838.29998779296795</v>
      </c>
      <c r="W21" s="2">
        <v>438.600006103515</v>
      </c>
      <c r="X21" s="2">
        <v>470.75</v>
      </c>
      <c r="Y21" s="2">
        <v>1622.44995117187</v>
      </c>
      <c r="Z21" s="2">
        <v>1617.15002441406</v>
      </c>
      <c r="AA21" s="2">
        <v>502.100006103515</v>
      </c>
      <c r="AB21" s="2">
        <v>622.25</v>
      </c>
      <c r="AC21" s="2">
        <v>178.28999328613199</v>
      </c>
      <c r="AD21" s="2">
        <v>100.34999847412099</v>
      </c>
      <c r="AE21" s="2">
        <v>1285.65002441406</v>
      </c>
      <c r="AG21" s="2">
        <v>16929.599609375</v>
      </c>
      <c r="AH21" s="2">
        <v>56857.7890625</v>
      </c>
      <c r="AI21" s="2">
        <v>26689.310546875</v>
      </c>
    </row>
    <row r="22" spans="1:35" x14ac:dyDescent="0.3">
      <c r="A22" s="1">
        <v>44771</v>
      </c>
      <c r="B22" s="2">
        <v>85.550003051757798</v>
      </c>
      <c r="C22" s="2">
        <v>956.04998779296795</v>
      </c>
      <c r="D22" s="2">
        <v>3398.10009765625</v>
      </c>
      <c r="E22" s="2">
        <v>72.932601928710895</v>
      </c>
      <c r="F22" s="2">
        <v>475.14999389648398</v>
      </c>
      <c r="G22" s="2">
        <v>2456</v>
      </c>
      <c r="H22" s="2">
        <v>26.600000381469702</v>
      </c>
      <c r="I22" s="2">
        <v>3310.60009765625</v>
      </c>
      <c r="J22" s="2">
        <v>57.110000610351499</v>
      </c>
      <c r="K22" s="2">
        <v>204.80000305175699</v>
      </c>
      <c r="L22" s="2">
        <v>106.25</v>
      </c>
      <c r="M22" s="2">
        <v>5485.39990234375</v>
      </c>
      <c r="N22" s="2">
        <v>942.79998779296795</v>
      </c>
      <c r="O22" s="2">
        <v>103.400001525878</v>
      </c>
      <c r="P22" s="2">
        <v>128.14999389648401</v>
      </c>
      <c r="Q22" s="2">
        <v>256.350006103515</v>
      </c>
      <c r="R22" s="2">
        <v>237.11999511718699</v>
      </c>
      <c r="S22" s="2">
        <v>22.799999237060501</v>
      </c>
      <c r="T22" s="2">
        <v>264.54376220703102</v>
      </c>
      <c r="U22" s="2">
        <v>91.860000610351506</v>
      </c>
      <c r="V22" s="2">
        <v>844.90002441406205</v>
      </c>
      <c r="W22" s="2">
        <v>428.52499389648398</v>
      </c>
      <c r="X22" s="2">
        <v>481.14999389648398</v>
      </c>
      <c r="Y22" s="2">
        <v>1597.44995117187</v>
      </c>
      <c r="Z22" s="2">
        <v>1636.90002441406</v>
      </c>
      <c r="AA22" s="2">
        <v>523</v>
      </c>
      <c r="AB22" s="2">
        <v>640.09997558593705</v>
      </c>
      <c r="AC22" s="2">
        <v>188.5</v>
      </c>
      <c r="AD22" s="2">
        <v>107.59999847412099</v>
      </c>
      <c r="AE22" s="2">
        <v>1325.5</v>
      </c>
      <c r="AG22" s="2">
        <v>17158.25</v>
      </c>
      <c r="AH22" s="2">
        <v>57570.25</v>
      </c>
      <c r="AI22" s="2">
        <v>27056.380859375</v>
      </c>
    </row>
    <row r="23" spans="1:35" x14ac:dyDescent="0.3">
      <c r="A23" s="1">
        <v>44774</v>
      </c>
      <c r="B23" s="2">
        <v>94.099998474121094</v>
      </c>
      <c r="C23" s="2">
        <v>985</v>
      </c>
      <c r="D23" s="2">
        <v>3543.05004882812</v>
      </c>
      <c r="E23" s="2">
        <v>75.399246215820298</v>
      </c>
      <c r="F23" s="2">
        <v>477.64999389648398</v>
      </c>
      <c r="G23" s="2">
        <v>2436.35009765625</v>
      </c>
      <c r="H23" s="2">
        <v>25.540624618530199</v>
      </c>
      <c r="I23" s="2">
        <v>3297.30004882812</v>
      </c>
      <c r="J23" s="2">
        <v>58.409999847412102</v>
      </c>
      <c r="K23" s="2">
        <v>207.350006103515</v>
      </c>
      <c r="L23" s="2">
        <v>104.81999969482401</v>
      </c>
      <c r="M23" s="2">
        <v>5578.75</v>
      </c>
      <c r="N23" s="2">
        <v>937.15002441406205</v>
      </c>
      <c r="O23" s="2">
        <v>106.400001525878</v>
      </c>
      <c r="P23" s="2">
        <v>134.27499389648401</v>
      </c>
      <c r="Q23" s="2">
        <v>265.64999389648398</v>
      </c>
      <c r="R23" s="2">
        <v>240.24000549316401</v>
      </c>
      <c r="S23" s="2">
        <v>22.7000007629394</v>
      </c>
      <c r="T23" s="2">
        <v>268.29376220703102</v>
      </c>
      <c r="U23" s="2">
        <v>90.495002746582003</v>
      </c>
      <c r="V23" s="2">
        <v>857.40002441406205</v>
      </c>
      <c r="W23" s="2">
        <v>411.27499389648398</v>
      </c>
      <c r="X23" s="2">
        <v>473.79998779296801</v>
      </c>
      <c r="Y23" s="2">
        <v>1606.94995117187</v>
      </c>
      <c r="Z23" s="2">
        <v>1727.19995117187</v>
      </c>
      <c r="AA23" s="2">
        <v>530.20001220703102</v>
      </c>
      <c r="AB23" s="2">
        <v>657.04998779296795</v>
      </c>
      <c r="AC23" s="2">
        <v>185.544998168945</v>
      </c>
      <c r="AD23" s="2">
        <v>108.25</v>
      </c>
      <c r="AE23" s="2">
        <v>1343.75</v>
      </c>
      <c r="AG23" s="2">
        <v>17340.05078125</v>
      </c>
      <c r="AH23" s="2">
        <v>58115.5</v>
      </c>
      <c r="AI23" s="2">
        <v>27455.380859375</v>
      </c>
    </row>
    <row r="24" spans="1:35" x14ac:dyDescent="0.3">
      <c r="A24" s="1">
        <v>44775</v>
      </c>
      <c r="B24" s="2">
        <v>93.199996948242102</v>
      </c>
      <c r="C24" s="2">
        <v>984.29998779296795</v>
      </c>
      <c r="D24" s="2">
        <v>3774.30004882812</v>
      </c>
      <c r="E24" s="2">
        <v>74.532585144042898</v>
      </c>
      <c r="F24" s="2">
        <v>476.25</v>
      </c>
      <c r="G24" s="2">
        <v>2445.85009765625</v>
      </c>
      <c r="H24" s="2">
        <v>24.603124618530199</v>
      </c>
      <c r="I24" s="2">
        <v>3292.75</v>
      </c>
      <c r="J24" s="2">
        <v>57.4799995422363</v>
      </c>
      <c r="K24" s="2">
        <v>212</v>
      </c>
      <c r="L24" s="2">
        <v>104.220001220703</v>
      </c>
      <c r="M24" s="2">
        <v>5664.10009765625</v>
      </c>
      <c r="N24" s="2">
        <v>942.15002441406205</v>
      </c>
      <c r="O24" s="2">
        <v>106.050003051757</v>
      </c>
      <c r="P24" s="2">
        <v>132.5</v>
      </c>
      <c r="Q24" s="2">
        <v>261.25</v>
      </c>
      <c r="R24" s="2">
        <v>239.169998168945</v>
      </c>
      <c r="S24" s="2">
        <v>21.75</v>
      </c>
      <c r="T24" s="2">
        <v>263.34375</v>
      </c>
      <c r="U24" s="2">
        <v>89.144996643066406</v>
      </c>
      <c r="V24" s="2">
        <v>825.09997558593705</v>
      </c>
      <c r="W24" s="2">
        <v>402.45001220703102</v>
      </c>
      <c r="X24" s="2">
        <v>470.79998779296801</v>
      </c>
      <c r="Y24" s="2">
        <v>1604.15002441406</v>
      </c>
      <c r="Z24" s="2">
        <v>1768.59997558593</v>
      </c>
      <c r="AA24" s="2">
        <v>560</v>
      </c>
      <c r="AB24" s="2">
        <v>632.90002441406205</v>
      </c>
      <c r="AC24" s="2">
        <v>182.41000366210901</v>
      </c>
      <c r="AD24" s="2">
        <v>107</v>
      </c>
      <c r="AE24" s="2">
        <v>1349.90002441406</v>
      </c>
      <c r="AG24" s="2">
        <v>17345.44921875</v>
      </c>
      <c r="AH24" s="2">
        <v>58136.359375</v>
      </c>
      <c r="AI24" s="2">
        <v>27549.73046875</v>
      </c>
    </row>
    <row r="25" spans="1:35" x14ac:dyDescent="0.3">
      <c r="A25" s="1">
        <v>44776</v>
      </c>
      <c r="B25" s="2">
        <v>90.349998474121094</v>
      </c>
      <c r="C25" s="2">
        <v>980.59997558593705</v>
      </c>
      <c r="D25" s="2">
        <v>3671.85009765625</v>
      </c>
      <c r="E25" s="2">
        <v>72.632606506347599</v>
      </c>
      <c r="F25" s="2">
        <v>474.5</v>
      </c>
      <c r="G25" s="2">
        <v>2474.05004882812</v>
      </c>
      <c r="H25" s="2">
        <v>23.5906257629394</v>
      </c>
      <c r="I25" s="2">
        <v>3199.64990234375</v>
      </c>
      <c r="J25" s="2">
        <v>56.200000762939403</v>
      </c>
      <c r="K25" s="2">
        <v>207.600006103515</v>
      </c>
      <c r="L25" s="2">
        <v>100.930000305175</v>
      </c>
      <c r="M25" s="2">
        <v>5671.89990234375</v>
      </c>
      <c r="N25" s="2">
        <v>930</v>
      </c>
      <c r="O25" s="2">
        <v>103.050003051757</v>
      </c>
      <c r="P25" s="2">
        <v>131</v>
      </c>
      <c r="Q25" s="2">
        <v>287.350006103515</v>
      </c>
      <c r="R25" s="2">
        <v>236.41000366210901</v>
      </c>
      <c r="S25" s="2">
        <v>20.7000007629394</v>
      </c>
      <c r="T25" s="2">
        <v>266.943756103515</v>
      </c>
      <c r="U25" s="2">
        <v>87.989997863769503</v>
      </c>
      <c r="V25" s="2">
        <v>815.09997558593705</v>
      </c>
      <c r="W25" s="2">
        <v>413.20001220703102</v>
      </c>
      <c r="X25" s="2">
        <v>469.89999389648398</v>
      </c>
      <c r="Y25" s="2">
        <v>1574.75</v>
      </c>
      <c r="Z25" s="2">
        <v>1724.75</v>
      </c>
      <c r="AA25" s="2">
        <v>575.5</v>
      </c>
      <c r="AB25" s="2">
        <v>630.90002441406205</v>
      </c>
      <c r="AC25" s="2">
        <v>179.80000305175699</v>
      </c>
      <c r="AD25" s="2">
        <v>107.050003051757</v>
      </c>
      <c r="AE25" s="2">
        <v>1353.55004882812</v>
      </c>
      <c r="AG25" s="2">
        <v>17388.150390625</v>
      </c>
      <c r="AH25" s="2">
        <v>58350.53125</v>
      </c>
      <c r="AI25" s="2">
        <v>27471.7890625</v>
      </c>
    </row>
    <row r="26" spans="1:35" x14ac:dyDescent="0.3">
      <c r="A26" s="1">
        <v>44777</v>
      </c>
      <c r="B26" s="2">
        <v>89.699996948242102</v>
      </c>
      <c r="C26" s="2">
        <v>1051.94995117187</v>
      </c>
      <c r="D26" s="2">
        <v>3636.60009765625</v>
      </c>
      <c r="E26" s="2">
        <v>74.332588195800696</v>
      </c>
      <c r="F26" s="2">
        <v>486.04998779296801</v>
      </c>
      <c r="G26" s="2">
        <v>2447.39990234375</v>
      </c>
      <c r="H26" s="2">
        <v>25.9375</v>
      </c>
      <c r="I26" s="2">
        <v>3163.80004882812</v>
      </c>
      <c r="J26" s="2">
        <v>56.040000915527301</v>
      </c>
      <c r="K26" s="2">
        <v>204.100006103515</v>
      </c>
      <c r="L26" s="2">
        <v>104.449996948242</v>
      </c>
      <c r="M26" s="2">
        <v>5612.85009765625</v>
      </c>
      <c r="N26" s="2">
        <v>944.70001220703102</v>
      </c>
      <c r="O26" s="2">
        <v>106.25</v>
      </c>
      <c r="P26" s="2">
        <v>126.900001525878</v>
      </c>
      <c r="Q26" s="2">
        <v>297.350006103515</v>
      </c>
      <c r="R26" s="2">
        <v>236.97999572753901</v>
      </c>
      <c r="S26" s="2">
        <v>21.2000007629394</v>
      </c>
      <c r="T26" s="2">
        <v>266.96249389648398</v>
      </c>
      <c r="U26" s="2">
        <v>87.805000305175696</v>
      </c>
      <c r="V26" s="2">
        <v>820.15002441406205</v>
      </c>
      <c r="W26" s="2">
        <v>396.02499389648398</v>
      </c>
      <c r="X26" s="2">
        <v>466.100006103515</v>
      </c>
      <c r="Y26" s="2">
        <v>1571.65002441406</v>
      </c>
      <c r="Z26" s="2">
        <v>1730.75</v>
      </c>
      <c r="AA26" s="2">
        <v>559.40002441406205</v>
      </c>
      <c r="AB26" s="2">
        <v>627.15002441406205</v>
      </c>
      <c r="AC26" s="2">
        <v>176.68499755859301</v>
      </c>
      <c r="AD26" s="2">
        <v>107.699996948242</v>
      </c>
      <c r="AE26" s="2">
        <v>1345.40002441406</v>
      </c>
      <c r="AG26" s="2">
        <v>17382</v>
      </c>
      <c r="AH26" s="2">
        <v>58298.80078125</v>
      </c>
      <c r="AI26" s="2">
        <v>27541.51953125</v>
      </c>
    </row>
    <row r="27" spans="1:35" x14ac:dyDescent="0.3">
      <c r="A27" s="1">
        <v>44778</v>
      </c>
      <c r="B27" s="2">
        <v>88.900001525878906</v>
      </c>
      <c r="C27" s="2">
        <v>1030.34997558593</v>
      </c>
      <c r="D27" s="2">
        <v>3573.75</v>
      </c>
      <c r="E27" s="2">
        <v>74.932586669921804</v>
      </c>
      <c r="F27" s="2">
        <v>486.100006103515</v>
      </c>
      <c r="G27" s="2">
        <v>2369.75</v>
      </c>
      <c r="H27" s="2">
        <v>26.681249618530199</v>
      </c>
      <c r="I27" s="2">
        <v>3108.55004882812</v>
      </c>
      <c r="J27" s="2">
        <v>57.169998168945298</v>
      </c>
      <c r="K27" s="2">
        <v>199.94999694824199</v>
      </c>
      <c r="L27" s="2">
        <v>102.86000061035099</v>
      </c>
      <c r="M27" s="2">
        <v>5651.5</v>
      </c>
      <c r="N27" s="2">
        <v>968.25</v>
      </c>
      <c r="O27" s="2">
        <v>103.949996948242</v>
      </c>
      <c r="P27" s="2">
        <v>129.625</v>
      </c>
      <c r="Q27" s="2">
        <v>299.70001220703102</v>
      </c>
      <c r="R27" s="2">
        <v>234.97000122070301</v>
      </c>
      <c r="S27" s="2">
        <v>20.549999237060501</v>
      </c>
      <c r="T27" s="2">
        <v>266.32501220703102</v>
      </c>
      <c r="U27" s="2">
        <v>86.934997558593693</v>
      </c>
      <c r="V27" s="2">
        <v>818.65002441406205</v>
      </c>
      <c r="W27" s="2">
        <v>404.54998779296801</v>
      </c>
      <c r="X27" s="2">
        <v>466.14999389648398</v>
      </c>
      <c r="Y27" s="2">
        <v>1575.90002441406</v>
      </c>
      <c r="Z27" s="2">
        <v>1725.40002441406</v>
      </c>
      <c r="AA27" s="2">
        <v>555.59997558593705</v>
      </c>
      <c r="AB27" s="2">
        <v>630.34997558593705</v>
      </c>
      <c r="AC27" s="2">
        <v>174.94999694824199</v>
      </c>
      <c r="AD27" s="2">
        <v>107.34999847412099</v>
      </c>
      <c r="AE27" s="2">
        <v>1353.09997558593</v>
      </c>
      <c r="AG27" s="2">
        <v>17397.5</v>
      </c>
      <c r="AH27" s="2">
        <v>58387.9296875</v>
      </c>
      <c r="AI27" s="2">
        <v>27605.080078125</v>
      </c>
    </row>
    <row r="28" spans="1:35" x14ac:dyDescent="0.3">
      <c r="A28" s="1">
        <v>44781</v>
      </c>
      <c r="B28" s="2">
        <v>85.699996948242102</v>
      </c>
      <c r="C28" s="2">
        <v>1022.95001220703</v>
      </c>
      <c r="D28" s="2">
        <v>3578.25</v>
      </c>
      <c r="E28" s="2">
        <v>73.765930175781193</v>
      </c>
      <c r="F28" s="2">
        <v>470.54998779296801</v>
      </c>
      <c r="G28" s="2">
        <v>2328.39990234375</v>
      </c>
      <c r="H28" s="2">
        <v>25.921875</v>
      </c>
      <c r="I28" s="2">
        <v>3079.85009765625</v>
      </c>
      <c r="J28" s="2">
        <v>56.869998931884702</v>
      </c>
      <c r="K28" s="2">
        <v>211</v>
      </c>
      <c r="L28" s="2">
        <v>101.58000183105401</v>
      </c>
      <c r="M28" s="2">
        <v>5758.2001953125</v>
      </c>
      <c r="N28" s="2">
        <v>970.04998779296795</v>
      </c>
      <c r="O28" s="2">
        <v>103.800003051757</v>
      </c>
      <c r="P28" s="2">
        <v>125.97499847412099</v>
      </c>
      <c r="Q28" s="2">
        <v>290.54998779296801</v>
      </c>
      <c r="R28" s="2">
        <v>234.44000244140599</v>
      </c>
      <c r="S28" s="2">
        <v>22.399999618530199</v>
      </c>
      <c r="T28" s="2">
        <v>263.21249389648398</v>
      </c>
      <c r="U28" s="2">
        <v>86.404998779296804</v>
      </c>
      <c r="V28" s="2">
        <v>834.84997558593705</v>
      </c>
      <c r="W28" s="2">
        <v>411.39999389648398</v>
      </c>
      <c r="X28" s="2">
        <v>479.70001220703102</v>
      </c>
      <c r="Y28" s="2">
        <v>1579.19995117187</v>
      </c>
      <c r="Z28" s="2">
        <v>1723</v>
      </c>
      <c r="AA28" s="2">
        <v>524.25</v>
      </c>
      <c r="AB28" s="2">
        <v>634.84997558593705</v>
      </c>
      <c r="AC28" s="2">
        <v>169.67500305175699</v>
      </c>
      <c r="AD28" s="2">
        <v>107.199996948242</v>
      </c>
      <c r="AE28" s="2">
        <v>1339.55004882812</v>
      </c>
      <c r="AG28" s="2">
        <v>17525.099609375</v>
      </c>
      <c r="AH28" s="2">
        <v>58853.0703125</v>
      </c>
      <c r="AI28" s="2">
        <v>27682.439453125</v>
      </c>
    </row>
    <row r="29" spans="1:35" x14ac:dyDescent="0.3">
      <c r="A29" s="1">
        <v>44783</v>
      </c>
      <c r="B29" s="2">
        <v>83.150001525878906</v>
      </c>
      <c r="C29" s="2">
        <v>1051.15002441406</v>
      </c>
      <c r="D29" s="2">
        <v>3664.55004882812</v>
      </c>
      <c r="E29" s="2">
        <v>71.632614135742102</v>
      </c>
      <c r="F29" s="2">
        <v>450.29998779296801</v>
      </c>
      <c r="G29" s="2">
        <v>2312.25</v>
      </c>
      <c r="H29" s="2">
        <v>25.234375</v>
      </c>
      <c r="I29" s="2">
        <v>3153.55004882812</v>
      </c>
      <c r="J29" s="2">
        <v>58.389999389648402</v>
      </c>
      <c r="K29" s="2">
        <v>207.64999389648401</v>
      </c>
      <c r="L29" s="2">
        <v>101.76000213623</v>
      </c>
      <c r="M29" s="2">
        <v>5840.2998046875</v>
      </c>
      <c r="N29" s="2">
        <v>981.59997558593705</v>
      </c>
      <c r="O29" s="2">
        <v>93.099998474121094</v>
      </c>
      <c r="P29" s="2">
        <v>138.225006103515</v>
      </c>
      <c r="Q29" s="2">
        <v>294.20001220703102</v>
      </c>
      <c r="R29" s="2">
        <v>231.509994506835</v>
      </c>
      <c r="S29" s="2">
        <v>22.5</v>
      </c>
      <c r="T29" s="2">
        <v>259.83749389648398</v>
      </c>
      <c r="U29" s="2">
        <v>84.694999694824205</v>
      </c>
      <c r="V29" s="2">
        <v>828.54998779296795</v>
      </c>
      <c r="W29" s="2">
        <v>410.67498779296801</v>
      </c>
      <c r="X29" s="2">
        <v>438.95001220703102</v>
      </c>
      <c r="Y29" s="2">
        <v>1575</v>
      </c>
      <c r="Z29" s="2">
        <v>1702.44995117187</v>
      </c>
      <c r="AA29" s="2">
        <v>523.95001220703102</v>
      </c>
      <c r="AB29" s="2">
        <v>627.04998779296795</v>
      </c>
      <c r="AC29" s="2">
        <v>172.67999267578099</v>
      </c>
      <c r="AD29" s="2">
        <v>109.199996948242</v>
      </c>
      <c r="AE29" s="2">
        <v>1271.40002441406</v>
      </c>
      <c r="AG29" s="2">
        <v>17534.75</v>
      </c>
      <c r="AH29" s="2">
        <v>58817.2890625</v>
      </c>
      <c r="AI29" s="2">
        <v>27655.26953125</v>
      </c>
    </row>
    <row r="30" spans="1:35" x14ac:dyDescent="0.3">
      <c r="A30" s="1">
        <v>44784</v>
      </c>
      <c r="B30" s="2">
        <v>82.400001525878906</v>
      </c>
      <c r="C30" s="2">
        <v>1092.40002441406</v>
      </c>
      <c r="D30" s="2">
        <v>3694.69995117187</v>
      </c>
      <c r="E30" s="2">
        <v>71.899276733398395</v>
      </c>
      <c r="F30" s="2">
        <v>449</v>
      </c>
      <c r="G30" s="2">
        <v>2366.94995117187</v>
      </c>
      <c r="H30" s="2">
        <v>24.678125381469702</v>
      </c>
      <c r="I30" s="2">
        <v>3209.5</v>
      </c>
      <c r="J30" s="2">
        <v>57.669998168945298</v>
      </c>
      <c r="K30" s="2">
        <v>203.75</v>
      </c>
      <c r="L30" s="2">
        <v>102</v>
      </c>
      <c r="M30" s="2">
        <v>5765</v>
      </c>
      <c r="N30" s="2">
        <v>967.84997558593705</v>
      </c>
      <c r="O30" s="2">
        <v>91.900001525878906</v>
      </c>
      <c r="P30" s="2">
        <v>138.39999389648401</v>
      </c>
      <c r="Q30" s="2">
        <v>299.350006103515</v>
      </c>
      <c r="R30" s="2">
        <v>233.13999938964801</v>
      </c>
      <c r="S30" s="2">
        <v>22.850000381469702</v>
      </c>
      <c r="T30" s="2">
        <v>258.75</v>
      </c>
      <c r="U30" s="2">
        <v>85.675003051757798</v>
      </c>
      <c r="V30" s="2">
        <v>824.59997558593705</v>
      </c>
      <c r="W30" s="2">
        <v>409.975006103515</v>
      </c>
      <c r="X30" s="2">
        <v>450.5</v>
      </c>
      <c r="Y30" s="2">
        <v>1573.15002441406</v>
      </c>
      <c r="Z30" s="2">
        <v>1679</v>
      </c>
      <c r="AA30" s="2">
        <v>520.40002441406205</v>
      </c>
      <c r="AB30" s="2">
        <v>630.95001220703102</v>
      </c>
      <c r="AC30" s="2">
        <v>170.26499938964801</v>
      </c>
      <c r="AD30" s="2">
        <v>109.09999847412099</v>
      </c>
      <c r="AE30" s="2">
        <v>1250.55004882812</v>
      </c>
      <c r="AG30" s="2">
        <v>17659</v>
      </c>
      <c r="AH30" s="2">
        <v>59332.6015625</v>
      </c>
      <c r="AI30" s="2">
        <v>27798.01953125</v>
      </c>
    </row>
    <row r="31" spans="1:35" x14ac:dyDescent="0.3">
      <c r="A31" s="1">
        <v>44785</v>
      </c>
      <c r="B31" s="2">
        <v>82.599998474121094</v>
      </c>
      <c r="C31" s="2">
        <v>1116.84997558593</v>
      </c>
      <c r="D31" s="2">
        <v>3557.19995117187</v>
      </c>
      <c r="E31" s="2">
        <v>71.865943908691406</v>
      </c>
      <c r="F31" s="2">
        <v>460.100006103515</v>
      </c>
      <c r="G31" s="2">
        <v>2374.39990234375</v>
      </c>
      <c r="H31" s="2">
        <v>24.978124618530199</v>
      </c>
      <c r="I31" s="2">
        <v>3290.75</v>
      </c>
      <c r="J31" s="2">
        <v>58.200000762939403</v>
      </c>
      <c r="K31" s="2">
        <v>200.75</v>
      </c>
      <c r="L31" s="2">
        <v>100.27999877929599</v>
      </c>
      <c r="M31" s="2">
        <v>5809.64990234375</v>
      </c>
      <c r="N31" s="2">
        <v>948.25</v>
      </c>
      <c r="O31" s="2">
        <v>94.099998474121094</v>
      </c>
      <c r="P31" s="2">
        <v>137.975006103515</v>
      </c>
      <c r="Q31" s="2">
        <v>313.95001220703102</v>
      </c>
      <c r="R31" s="2">
        <v>232.33999633789</v>
      </c>
      <c r="S31" s="2">
        <v>22.2000007629394</v>
      </c>
      <c r="T31" s="2">
        <v>258.43124389648398</v>
      </c>
      <c r="U31" s="2">
        <v>85.834999084472599</v>
      </c>
      <c r="V31" s="2">
        <v>828.40002441406205</v>
      </c>
      <c r="W31" s="2">
        <v>410.75</v>
      </c>
      <c r="X31" s="2">
        <v>454.25</v>
      </c>
      <c r="Y31" s="2">
        <v>1598.40002441406</v>
      </c>
      <c r="Z31" s="2">
        <v>1707.90002441406</v>
      </c>
      <c r="AA31" s="2">
        <v>535.40002441406205</v>
      </c>
      <c r="AB31" s="2">
        <v>623</v>
      </c>
      <c r="AC31" s="2">
        <v>168.69500732421801</v>
      </c>
      <c r="AD31" s="2">
        <v>112.650001525878</v>
      </c>
      <c r="AE31" s="2">
        <v>1255.80004882812</v>
      </c>
      <c r="AG31" s="2">
        <v>17698.150390625</v>
      </c>
      <c r="AH31" s="2">
        <v>59462.78125</v>
      </c>
      <c r="AI31" s="2">
        <v>27905.91015625</v>
      </c>
    </row>
    <row r="32" spans="1:35" x14ac:dyDescent="0.3">
      <c r="A32" s="1">
        <v>44789</v>
      </c>
      <c r="B32" s="2">
        <v>83.599998474121094</v>
      </c>
      <c r="C32" s="2">
        <v>1111.5</v>
      </c>
      <c r="D32" s="2">
        <v>3555.69995117187</v>
      </c>
      <c r="E32" s="2">
        <v>75.399246215820298</v>
      </c>
      <c r="F32" s="2">
        <v>453.5</v>
      </c>
      <c r="G32" s="2">
        <v>2407.69995117187</v>
      </c>
      <c r="H32" s="2">
        <v>25.115625381469702</v>
      </c>
      <c r="I32" s="2">
        <v>3302.44995117187</v>
      </c>
      <c r="J32" s="2">
        <v>59.560001373291001</v>
      </c>
      <c r="K32" s="2">
        <v>204.100006103515</v>
      </c>
      <c r="L32" s="2">
        <v>99.849998474121094</v>
      </c>
      <c r="M32" s="2">
        <v>5817.5</v>
      </c>
      <c r="N32" s="2">
        <v>1014.25</v>
      </c>
      <c r="O32" s="2">
        <v>94.150001525878906</v>
      </c>
      <c r="P32" s="2">
        <v>134.600006103515</v>
      </c>
      <c r="Q32" s="2">
        <v>300.04998779296801</v>
      </c>
      <c r="R32" s="2">
        <v>232.55000305175699</v>
      </c>
      <c r="S32" s="2">
        <v>21.9500007629394</v>
      </c>
      <c r="T32" s="2">
        <v>261.01873779296801</v>
      </c>
      <c r="U32" s="2">
        <v>85.625</v>
      </c>
      <c r="V32" s="2">
        <v>846.09997558593705</v>
      </c>
      <c r="W32" s="2">
        <v>420.875</v>
      </c>
      <c r="X32" s="2">
        <v>456.89999389648398</v>
      </c>
      <c r="Y32" s="2">
        <v>1612.19995117187</v>
      </c>
      <c r="Z32" s="2">
        <v>1678</v>
      </c>
      <c r="AA32" s="2">
        <v>528.09997558593705</v>
      </c>
      <c r="AB32" s="2">
        <v>621.25</v>
      </c>
      <c r="AC32" s="2">
        <v>168.38000488281199</v>
      </c>
      <c r="AD32" s="2">
        <v>113</v>
      </c>
      <c r="AE32" s="2">
        <v>1317.19995117187</v>
      </c>
      <c r="AG32" s="2">
        <v>17825.25</v>
      </c>
      <c r="AH32" s="2">
        <v>59842.2109375</v>
      </c>
      <c r="AI32" s="2">
        <v>28194.369140625</v>
      </c>
    </row>
    <row r="33" spans="1:35" x14ac:dyDescent="0.3">
      <c r="A33" s="1">
        <v>44790</v>
      </c>
      <c r="B33" s="2">
        <v>85.400001525878906</v>
      </c>
      <c r="C33" s="2">
        <v>1077.09997558593</v>
      </c>
      <c r="D33" s="2">
        <v>3647</v>
      </c>
      <c r="E33" s="2">
        <v>76.932563781738196</v>
      </c>
      <c r="F33" s="2">
        <v>450.5</v>
      </c>
      <c r="G33" s="2">
        <v>2393.85009765625</v>
      </c>
      <c r="H33" s="2">
        <v>24.90625</v>
      </c>
      <c r="I33" s="2">
        <v>3230.35009765625</v>
      </c>
      <c r="J33" s="2">
        <v>60.790000915527301</v>
      </c>
      <c r="K33" s="2">
        <v>202.89999389648401</v>
      </c>
      <c r="L33" s="2">
        <v>101.5</v>
      </c>
      <c r="M33" s="2">
        <v>5840.7001953125</v>
      </c>
      <c r="N33" s="2">
        <v>1025.34997558593</v>
      </c>
      <c r="O33" s="2">
        <v>92.900001525878906</v>
      </c>
      <c r="P33" s="2">
        <v>138</v>
      </c>
      <c r="Q33" s="2">
        <v>330.04998779296801</v>
      </c>
      <c r="R33" s="2">
        <v>229.44000244140599</v>
      </c>
      <c r="S33" s="2">
        <v>22</v>
      </c>
      <c r="T33" s="2">
        <v>262.48126220703102</v>
      </c>
      <c r="U33" s="2">
        <v>92.544998168945298</v>
      </c>
      <c r="V33" s="2">
        <v>900.70001220703102</v>
      </c>
      <c r="W33" s="2">
        <v>423.25</v>
      </c>
      <c r="X33" s="2">
        <v>456</v>
      </c>
      <c r="Y33" s="2">
        <v>1617.94995117187</v>
      </c>
      <c r="Z33" s="2">
        <v>1669</v>
      </c>
      <c r="AA33" s="2">
        <v>518.5</v>
      </c>
      <c r="AB33" s="2">
        <v>633.45001220703102</v>
      </c>
      <c r="AC33" s="2">
        <v>165.225006103515</v>
      </c>
      <c r="AD33" s="2">
        <v>112.5</v>
      </c>
      <c r="AE33" s="2">
        <v>1348.69995117187</v>
      </c>
      <c r="AG33" s="2">
        <v>17944.25</v>
      </c>
      <c r="AH33" s="2">
        <v>60260.12890625</v>
      </c>
      <c r="AI33" s="2">
        <v>28343</v>
      </c>
    </row>
    <row r="34" spans="1:35" x14ac:dyDescent="0.3">
      <c r="A34" s="1">
        <v>44791</v>
      </c>
      <c r="B34" s="2">
        <v>86.349998474121094</v>
      </c>
      <c r="C34" s="2">
        <v>1045.84997558593</v>
      </c>
      <c r="D34" s="2">
        <v>3627</v>
      </c>
      <c r="E34" s="2">
        <v>76.899230957031193</v>
      </c>
      <c r="F34" s="2">
        <v>436.95001220703102</v>
      </c>
      <c r="G34" s="2">
        <v>2380.55004882812</v>
      </c>
      <c r="H34" s="2">
        <v>24.768749237060501</v>
      </c>
      <c r="I34" s="2">
        <v>3212.69995117187</v>
      </c>
      <c r="J34" s="2">
        <v>61.810001373291001</v>
      </c>
      <c r="K34" s="2">
        <v>201.75</v>
      </c>
      <c r="L34" s="2">
        <v>101.25</v>
      </c>
      <c r="M34" s="2">
        <v>5842.7001953125</v>
      </c>
      <c r="N34" s="2">
        <v>1030.25</v>
      </c>
      <c r="O34" s="2">
        <v>93.449996948242102</v>
      </c>
      <c r="P34" s="2">
        <v>153.5</v>
      </c>
      <c r="Q34" s="2">
        <v>332.100006103515</v>
      </c>
      <c r="R34" s="2">
        <v>224.419998168945</v>
      </c>
      <c r="S34" s="2">
        <v>21.75</v>
      </c>
      <c r="T34" s="2">
        <v>265.18124389648398</v>
      </c>
      <c r="U34" s="2">
        <v>97.180000305175696</v>
      </c>
      <c r="V34" s="2">
        <v>911</v>
      </c>
      <c r="W34" s="2">
        <v>418.64999389648398</v>
      </c>
      <c r="X34" s="2">
        <v>452.25</v>
      </c>
      <c r="Y34" s="2">
        <v>1612.34997558593</v>
      </c>
      <c r="Z34" s="2">
        <v>1745.65002441406</v>
      </c>
      <c r="AA34" s="2">
        <v>519.90002441406205</v>
      </c>
      <c r="AB34" s="2">
        <v>652.40002441406205</v>
      </c>
      <c r="AC34" s="2">
        <v>160.56500244140599</v>
      </c>
      <c r="AD34" s="2">
        <v>112.550003051757</v>
      </c>
      <c r="AE34" s="2">
        <v>1345</v>
      </c>
      <c r="AG34" s="2">
        <v>17956.5</v>
      </c>
      <c r="AH34" s="2">
        <v>60298</v>
      </c>
      <c r="AI34" s="2">
        <v>28438.5703125</v>
      </c>
    </row>
    <row r="35" spans="1:35" x14ac:dyDescent="0.3">
      <c r="A35" s="1">
        <v>44792</v>
      </c>
      <c r="B35" s="2">
        <v>84.650001525878906</v>
      </c>
      <c r="C35" s="2">
        <v>1061.94995117187</v>
      </c>
      <c r="D35" s="2">
        <v>3589.44995117187</v>
      </c>
      <c r="E35" s="2">
        <v>75.632575988769503</v>
      </c>
      <c r="F35" s="2">
        <v>427.04998779296801</v>
      </c>
      <c r="G35" s="2">
        <v>2250.10009765625</v>
      </c>
      <c r="H35" s="2">
        <v>24.506250381469702</v>
      </c>
      <c r="I35" s="2">
        <v>3194.25</v>
      </c>
      <c r="J35" s="2">
        <v>61.029998779296797</v>
      </c>
      <c r="K35" s="2">
        <v>200.44999694824199</v>
      </c>
      <c r="L35" s="2">
        <v>101.370002746582</v>
      </c>
      <c r="M35" s="2">
        <v>5902.89990234375</v>
      </c>
      <c r="N35" s="2">
        <v>1008.40002441406</v>
      </c>
      <c r="O35" s="2">
        <v>92.75</v>
      </c>
      <c r="P35" s="2">
        <v>155.64999389648401</v>
      </c>
      <c r="Q35" s="2">
        <v>365.29998779296801</v>
      </c>
      <c r="R35" s="2">
        <v>227.08999633789</v>
      </c>
      <c r="S35" s="2">
        <v>21.850000381469702</v>
      </c>
      <c r="T35" s="2">
        <v>265.256256103515</v>
      </c>
      <c r="U35" s="2">
        <v>95.540000915527301</v>
      </c>
      <c r="V35" s="2">
        <v>927.09997558593705</v>
      </c>
      <c r="W35" s="2">
        <v>420.92498779296801</v>
      </c>
      <c r="X35" s="2">
        <v>452</v>
      </c>
      <c r="Y35" s="2">
        <v>1580.09997558593</v>
      </c>
      <c r="Z35" s="2">
        <v>1706.40002441406</v>
      </c>
      <c r="AA35" s="2">
        <v>519.45001220703102</v>
      </c>
      <c r="AB35" s="2">
        <v>655.54998779296795</v>
      </c>
      <c r="AC35" s="2">
        <v>158.22000122070301</v>
      </c>
      <c r="AD35" s="2">
        <v>110.050003051757</v>
      </c>
      <c r="AE35" s="2">
        <v>1323.09997558593</v>
      </c>
      <c r="AG35" s="2">
        <v>17758.44921875</v>
      </c>
      <c r="AH35" s="2">
        <v>59646.1484375</v>
      </c>
      <c r="AI35" s="2">
        <v>28175.380859375</v>
      </c>
    </row>
    <row r="36" spans="1:35" x14ac:dyDescent="0.3">
      <c r="A36" s="1">
        <v>44795</v>
      </c>
      <c r="B36" s="2">
        <v>82.699996948242102</v>
      </c>
      <c r="C36" s="2">
        <v>1058.90002441406</v>
      </c>
      <c r="D36" s="2">
        <v>3480.44995117187</v>
      </c>
      <c r="E36" s="2">
        <v>74.232589721679602</v>
      </c>
      <c r="F36" s="2">
        <v>417.64999389648398</v>
      </c>
      <c r="G36" s="2">
        <v>2202.05004882812</v>
      </c>
      <c r="H36" s="2">
        <v>24.159374237060501</v>
      </c>
      <c r="I36" s="2">
        <v>3146.55004882812</v>
      </c>
      <c r="J36" s="2">
        <v>60.2299995422363</v>
      </c>
      <c r="K36" s="2">
        <v>196.69999694824199</v>
      </c>
      <c r="L36" s="2">
        <v>101.06999969482401</v>
      </c>
      <c r="M36" s="2">
        <v>5900.4501953125</v>
      </c>
      <c r="N36" s="2">
        <v>1000.90002441406</v>
      </c>
      <c r="O36" s="2">
        <v>91.75</v>
      </c>
      <c r="P36" s="2">
        <v>153.94999694824199</v>
      </c>
      <c r="Q36" s="2">
        <v>356.89999389648398</v>
      </c>
      <c r="R36" s="2">
        <v>232.13000488281199</v>
      </c>
      <c r="S36" s="2">
        <v>21.5</v>
      </c>
      <c r="T36" s="2">
        <v>260.625</v>
      </c>
      <c r="U36" s="2">
        <v>91.459999084472599</v>
      </c>
      <c r="V36" s="2">
        <v>902.54998779296795</v>
      </c>
      <c r="W36" s="2">
        <v>397.45001220703102</v>
      </c>
      <c r="X36" s="2">
        <v>452.25</v>
      </c>
      <c r="Y36" s="2">
        <v>1581.84997558593</v>
      </c>
      <c r="Z36" s="2">
        <v>1688.69995117187</v>
      </c>
      <c r="AA36" s="2">
        <v>505.850006103515</v>
      </c>
      <c r="AB36" s="2">
        <v>639.34997558593705</v>
      </c>
      <c r="AC36" s="2">
        <v>149.78999328613199</v>
      </c>
      <c r="AD36" s="2">
        <v>105.050003051757</v>
      </c>
      <c r="AE36" s="2">
        <v>1305.94995117187</v>
      </c>
      <c r="AG36" s="2">
        <v>17490.69921875</v>
      </c>
      <c r="AH36" s="2">
        <v>58773.87109375</v>
      </c>
      <c r="AI36" s="2">
        <v>27844.73046875</v>
      </c>
    </row>
    <row r="37" spans="1:35" x14ac:dyDescent="0.3">
      <c r="A37" s="1">
        <v>44796</v>
      </c>
      <c r="B37" s="2">
        <v>84</v>
      </c>
      <c r="C37" s="2">
        <v>1051.34997558593</v>
      </c>
      <c r="D37" s="2">
        <v>3491.55004882812</v>
      </c>
      <c r="E37" s="2">
        <v>82.665840148925696</v>
      </c>
      <c r="F37" s="2">
        <v>420.39999389648398</v>
      </c>
      <c r="G37" s="2">
        <v>2222.69995117187</v>
      </c>
      <c r="H37" s="2">
        <v>24.53125</v>
      </c>
      <c r="I37" s="2">
        <v>3248.55004882812</v>
      </c>
      <c r="J37" s="2">
        <v>60.110000610351499</v>
      </c>
      <c r="K37" s="2">
        <v>199</v>
      </c>
      <c r="L37" s="2">
        <v>102.480003356933</v>
      </c>
      <c r="M37" s="2">
        <v>5912.0498046875</v>
      </c>
      <c r="N37" s="2">
        <v>1014.5</v>
      </c>
      <c r="O37" s="2">
        <v>92.650001525878906</v>
      </c>
      <c r="P37" s="2">
        <v>155.14999389648401</v>
      </c>
      <c r="Q37" s="2">
        <v>366.20001220703102</v>
      </c>
      <c r="R37" s="2">
        <v>231.83000183105401</v>
      </c>
      <c r="S37" s="2">
        <v>21.399999618530199</v>
      </c>
      <c r="T37" s="2">
        <v>261.24374389648398</v>
      </c>
      <c r="U37" s="2">
        <v>105.470001220703</v>
      </c>
      <c r="V37" s="2">
        <v>906</v>
      </c>
      <c r="W37" s="2">
        <v>414.25</v>
      </c>
      <c r="X37" s="2">
        <v>449.350006103515</v>
      </c>
      <c r="Y37" s="2">
        <v>1592.55004882812</v>
      </c>
      <c r="Z37" s="2">
        <v>1673.40002441406</v>
      </c>
      <c r="AA37" s="2">
        <v>514.95001220703102</v>
      </c>
      <c r="AB37" s="2">
        <v>626.54998779296795</v>
      </c>
      <c r="AC37" s="2">
        <v>152.634994506835</v>
      </c>
      <c r="AD37" s="2">
        <v>107.59999847412099</v>
      </c>
      <c r="AE37" s="2">
        <v>1282.34997558593</v>
      </c>
      <c r="AG37" s="2">
        <v>17577.5</v>
      </c>
      <c r="AH37" s="2">
        <v>59031.30078125</v>
      </c>
      <c r="AI37" s="2">
        <v>28062.9296875</v>
      </c>
    </row>
    <row r="38" spans="1:35" x14ac:dyDescent="0.3">
      <c r="A38" s="1">
        <v>44797</v>
      </c>
      <c r="B38" s="2">
        <v>83.699996948242102</v>
      </c>
      <c r="C38" s="2">
        <v>1044.30004882812</v>
      </c>
      <c r="D38" s="2">
        <v>3550.14990234375</v>
      </c>
      <c r="E38" s="2">
        <v>84.732482910156193</v>
      </c>
      <c r="F38" s="2">
        <v>423.14999389648398</v>
      </c>
      <c r="G38" s="2">
        <v>2231.25</v>
      </c>
      <c r="H38" s="2">
        <v>24.600000381469702</v>
      </c>
      <c r="I38" s="2">
        <v>3220.75</v>
      </c>
      <c r="J38" s="2">
        <v>60.7299995422363</v>
      </c>
      <c r="K38" s="2">
        <v>205.19999694824199</v>
      </c>
      <c r="L38" s="2">
        <v>103.34999847412099</v>
      </c>
      <c r="M38" s="2">
        <v>5882.5498046875</v>
      </c>
      <c r="N38" s="2">
        <v>1040</v>
      </c>
      <c r="O38" s="2">
        <v>94.300003051757798</v>
      </c>
      <c r="P38" s="2">
        <v>170.82499694824199</v>
      </c>
      <c r="Q38" s="2">
        <v>384.5</v>
      </c>
      <c r="R38" s="2">
        <v>234.22999572753901</v>
      </c>
      <c r="S38" s="2">
        <v>21.25</v>
      </c>
      <c r="T38" s="2">
        <v>263.53125</v>
      </c>
      <c r="U38" s="2">
        <v>103.105003356933</v>
      </c>
      <c r="V38" s="2">
        <v>934.70001220703102</v>
      </c>
      <c r="W38" s="2">
        <v>411.54998779296801</v>
      </c>
      <c r="X38" s="2">
        <v>452</v>
      </c>
      <c r="Y38" s="2">
        <v>1578.09997558593</v>
      </c>
      <c r="Z38" s="2">
        <v>1662.44995117187</v>
      </c>
      <c r="AA38" s="2">
        <v>529</v>
      </c>
      <c r="AB38" s="2">
        <v>631.15002441406205</v>
      </c>
      <c r="AC38" s="2">
        <v>157.850006103515</v>
      </c>
      <c r="AD38" s="2">
        <v>106.550003051757</v>
      </c>
      <c r="AE38" s="2">
        <v>1292.40002441406</v>
      </c>
      <c r="AG38" s="2">
        <v>17604.94921875</v>
      </c>
      <c r="AH38" s="2">
        <v>59085.4296875</v>
      </c>
      <c r="AI38" s="2">
        <v>28266.640625</v>
      </c>
    </row>
    <row r="39" spans="1:35" x14ac:dyDescent="0.3">
      <c r="A39" s="1">
        <v>44798</v>
      </c>
      <c r="B39" s="2">
        <v>84.5</v>
      </c>
      <c r="C39" s="2">
        <v>1025.09997558593</v>
      </c>
      <c r="D39" s="2">
        <v>3525.30004882812</v>
      </c>
      <c r="E39" s="2">
        <v>84.065826416015597</v>
      </c>
      <c r="F39" s="2">
        <v>420.45001220703102</v>
      </c>
      <c r="G39" s="2">
        <v>2234.10009765625</v>
      </c>
      <c r="H39" s="2">
        <v>24.287500381469702</v>
      </c>
      <c r="I39" s="2">
        <v>3209.10009765625</v>
      </c>
      <c r="J39" s="2">
        <v>59.880001068115199</v>
      </c>
      <c r="K39" s="2">
        <v>204.55000305175699</v>
      </c>
      <c r="L39" s="2">
        <v>103.26000213623</v>
      </c>
      <c r="M39" s="2">
        <v>5820.64990234375</v>
      </c>
      <c r="N39" s="2">
        <v>1015.15002441406</v>
      </c>
      <c r="O39" s="2">
        <v>94.449996948242102</v>
      </c>
      <c r="P39" s="2">
        <v>179</v>
      </c>
      <c r="Q39" s="2">
        <v>403.70001220703102</v>
      </c>
      <c r="R39" s="2">
        <v>228.58999633789</v>
      </c>
      <c r="S39" s="2">
        <v>21.549999237060501</v>
      </c>
      <c r="T39" s="2">
        <v>262.27499389648398</v>
      </c>
      <c r="U39" s="2">
        <v>103.19499969482401</v>
      </c>
      <c r="V39" s="2">
        <v>929.90002441406205</v>
      </c>
      <c r="W39" s="2">
        <v>406.75</v>
      </c>
      <c r="X39" s="2">
        <v>448</v>
      </c>
      <c r="Y39" s="2">
        <v>1600.19995117187</v>
      </c>
      <c r="Z39" s="2">
        <v>1653.25</v>
      </c>
      <c r="AA39" s="2">
        <v>533.25</v>
      </c>
      <c r="AB39" s="2">
        <v>627.34997558593705</v>
      </c>
      <c r="AC39" s="2">
        <v>156.50500488281199</v>
      </c>
      <c r="AD39" s="2">
        <v>106.25</v>
      </c>
      <c r="AE39" s="2">
        <v>1333.15002441406</v>
      </c>
      <c r="AG39" s="2">
        <v>17522.44921875</v>
      </c>
      <c r="AH39" s="2">
        <v>58774.71875</v>
      </c>
      <c r="AI39" s="2">
        <v>28315.609375</v>
      </c>
    </row>
    <row r="40" spans="1:35" x14ac:dyDescent="0.3">
      <c r="A40" s="1">
        <v>44799</v>
      </c>
      <c r="B40" s="2">
        <v>85.050003051757798</v>
      </c>
      <c r="C40" s="2">
        <v>975.79998779296795</v>
      </c>
      <c r="D40" s="2">
        <v>3532.10009765625</v>
      </c>
      <c r="E40" s="2">
        <v>81.999176025390597</v>
      </c>
      <c r="F40" s="2">
        <v>422.25</v>
      </c>
      <c r="G40" s="2">
        <v>2249.35009765625</v>
      </c>
      <c r="H40" s="2">
        <v>24.193750381469702</v>
      </c>
      <c r="I40" s="2">
        <v>3220.55004882812</v>
      </c>
      <c r="J40" s="2">
        <v>60.139999389648402</v>
      </c>
      <c r="K40" s="2">
        <v>201.80000305175699</v>
      </c>
      <c r="L40" s="2">
        <v>103.230003356933</v>
      </c>
      <c r="M40" s="2">
        <v>5856.4501953125</v>
      </c>
      <c r="N40" s="2">
        <v>1017.5</v>
      </c>
      <c r="O40" s="2">
        <v>94.099998474121094</v>
      </c>
      <c r="P40" s="2">
        <v>179.975006103515</v>
      </c>
      <c r="Q40" s="2">
        <v>423.850006103515</v>
      </c>
      <c r="R40" s="2">
        <v>230.38000488281199</v>
      </c>
      <c r="S40" s="2">
        <v>21.9500007629394</v>
      </c>
      <c r="T40" s="2">
        <v>264.99374389648398</v>
      </c>
      <c r="U40" s="2">
        <v>99.529998779296804</v>
      </c>
      <c r="V40" s="2">
        <v>926.20001220703102</v>
      </c>
      <c r="W40" s="2">
        <v>404.82501220703102</v>
      </c>
      <c r="X40" s="2">
        <v>446.39999389648398</v>
      </c>
      <c r="Y40" s="2">
        <v>1575.94995117187</v>
      </c>
      <c r="Z40" s="2">
        <v>1610</v>
      </c>
      <c r="AA40" s="2">
        <v>525.54998779296795</v>
      </c>
      <c r="AB40" s="2">
        <v>628.65002441406205</v>
      </c>
      <c r="AC40" s="2">
        <v>155.19999694824199</v>
      </c>
      <c r="AD40" s="2">
        <v>107.34999847412099</v>
      </c>
      <c r="AE40" s="2">
        <v>1299.05004882812</v>
      </c>
      <c r="AG40" s="2">
        <v>17558.900390625</v>
      </c>
      <c r="AH40" s="2">
        <v>58833.87109375</v>
      </c>
      <c r="AI40" s="2">
        <v>28415.890625</v>
      </c>
    </row>
    <row r="41" spans="1:35" x14ac:dyDescent="0.3">
      <c r="A41" s="1">
        <v>44802</v>
      </c>
      <c r="B41" s="2">
        <v>83.400001525878906</v>
      </c>
      <c r="C41" s="2">
        <v>959.75</v>
      </c>
      <c r="D41" s="2">
        <v>3440.19995117187</v>
      </c>
      <c r="E41" s="2">
        <v>79.699203491210895</v>
      </c>
      <c r="F41" s="2">
        <v>422.64999389648398</v>
      </c>
      <c r="G41" s="2">
        <v>2258.35009765625</v>
      </c>
      <c r="H41" s="2">
        <v>23.737499237060501</v>
      </c>
      <c r="I41" s="2">
        <v>3177.85009765625</v>
      </c>
      <c r="J41" s="2">
        <v>58.709999084472599</v>
      </c>
      <c r="K41" s="2">
        <v>211.19999694824199</v>
      </c>
      <c r="L41" s="2">
        <v>103.930000305175</v>
      </c>
      <c r="M41" s="2">
        <v>5788.7001953125</v>
      </c>
      <c r="N41" s="2">
        <v>1018.79998779296</v>
      </c>
      <c r="O41" s="2">
        <v>91.949996948242102</v>
      </c>
      <c r="P41" s="2">
        <v>174.17500305175699</v>
      </c>
      <c r="Q41" s="2">
        <v>445</v>
      </c>
      <c r="R41" s="2">
        <v>224.13000488281199</v>
      </c>
      <c r="S41" s="2">
        <v>21.549999237060501</v>
      </c>
      <c r="T41" s="2">
        <v>260.193756103515</v>
      </c>
      <c r="U41" s="2">
        <v>94.735000610351506</v>
      </c>
      <c r="V41" s="2">
        <v>927.90002441406205</v>
      </c>
      <c r="W41" s="2">
        <v>389.02499389648398</v>
      </c>
      <c r="X41" s="2">
        <v>467.45001220703102</v>
      </c>
      <c r="Y41" s="2">
        <v>1586.80004882812</v>
      </c>
      <c r="Z41" s="2">
        <v>1644.19995117187</v>
      </c>
      <c r="AA41" s="2">
        <v>527.65002441406205</v>
      </c>
      <c r="AB41" s="2">
        <v>610</v>
      </c>
      <c r="AC41" s="2">
        <v>154.17500305175699</v>
      </c>
      <c r="AD41" s="2">
        <v>104.84999847412099</v>
      </c>
      <c r="AE41" s="2">
        <v>1292.30004882812</v>
      </c>
      <c r="AG41" s="2">
        <v>17312.900390625</v>
      </c>
      <c r="AH41" s="2">
        <v>57972.62109375</v>
      </c>
      <c r="AI41" s="2">
        <v>28254.990234375</v>
      </c>
    </row>
    <row r="42" spans="1:35" x14ac:dyDescent="0.3">
      <c r="A42" s="1">
        <v>44803</v>
      </c>
      <c r="B42" s="2">
        <v>86.349998474121094</v>
      </c>
      <c r="C42" s="2">
        <v>946.75</v>
      </c>
      <c r="D42" s="2">
        <v>3466.60009765625</v>
      </c>
      <c r="E42" s="2">
        <v>84.832481384277301</v>
      </c>
      <c r="F42" s="2">
        <v>423.04998779296801</v>
      </c>
      <c r="G42" s="2">
        <v>2305.14990234375</v>
      </c>
      <c r="H42" s="2">
        <v>24.396875381469702</v>
      </c>
      <c r="I42" s="2">
        <v>3246.19995117187</v>
      </c>
      <c r="J42" s="2">
        <v>59.020000457763601</v>
      </c>
      <c r="K42" s="2">
        <v>211.30000305175699</v>
      </c>
      <c r="L42" s="2">
        <v>103.669998168945</v>
      </c>
      <c r="M42" s="2">
        <v>5818.14990234375</v>
      </c>
      <c r="N42" s="2">
        <v>1035.19995117187</v>
      </c>
      <c r="O42" s="2">
        <v>93</v>
      </c>
      <c r="P42" s="2">
        <v>193.02499389648401</v>
      </c>
      <c r="Q42" s="2">
        <v>467.25</v>
      </c>
      <c r="R42" s="2">
        <v>225.33999633789</v>
      </c>
      <c r="S42" s="2">
        <v>21.649999618530199</v>
      </c>
      <c r="T42" s="2">
        <v>268.48126220703102</v>
      </c>
      <c r="U42" s="2">
        <v>92.910003662109304</v>
      </c>
      <c r="V42" s="2">
        <v>926.45001220703102</v>
      </c>
      <c r="W42" s="2">
        <v>386.79998779296801</v>
      </c>
      <c r="X42" s="2">
        <v>490.39999389648398</v>
      </c>
      <c r="Y42" s="2">
        <v>1597</v>
      </c>
      <c r="Z42" s="2">
        <v>1652</v>
      </c>
      <c r="AA42" s="2">
        <v>571.65002441406205</v>
      </c>
      <c r="AB42" s="2">
        <v>618.90002441406205</v>
      </c>
      <c r="AC42" s="2">
        <v>156.600006103515</v>
      </c>
      <c r="AD42" s="2">
        <v>108.300003051757</v>
      </c>
      <c r="AE42" s="2">
        <v>1348</v>
      </c>
      <c r="AG42" s="2">
        <v>17759.30078125</v>
      </c>
      <c r="AH42" s="2">
        <v>59537.0703125</v>
      </c>
      <c r="AI42" s="2">
        <v>28650.880859375</v>
      </c>
    </row>
    <row r="43" spans="1:35" x14ac:dyDescent="0.3">
      <c r="A43" s="1">
        <v>44805</v>
      </c>
      <c r="B43" s="2">
        <v>88.25</v>
      </c>
      <c r="C43" s="2">
        <v>1029.75</v>
      </c>
      <c r="D43" s="2">
        <v>3484.14990234375</v>
      </c>
      <c r="E43" s="2">
        <v>87.832450866699205</v>
      </c>
      <c r="F43" s="2">
        <v>420.04998779296801</v>
      </c>
      <c r="G43" s="2">
        <v>2288.44995117187</v>
      </c>
      <c r="H43" s="2">
        <v>23.8250007629394</v>
      </c>
      <c r="I43" s="2">
        <v>3244.05004882812</v>
      </c>
      <c r="J43" s="2">
        <v>58.810001373291001</v>
      </c>
      <c r="K43" s="2">
        <v>229.75</v>
      </c>
      <c r="L43" s="2">
        <v>103.050003051757</v>
      </c>
      <c r="M43" s="2">
        <v>5857.10009765625</v>
      </c>
      <c r="N43" s="2">
        <v>1044.25</v>
      </c>
      <c r="O43" s="2">
        <v>93.900001525878906</v>
      </c>
      <c r="P43" s="2">
        <v>198.5</v>
      </c>
      <c r="Q43" s="2">
        <v>490.600006103515</v>
      </c>
      <c r="R43" s="2">
        <v>221.49000549316401</v>
      </c>
      <c r="S43" s="2">
        <v>21.549999237060501</v>
      </c>
      <c r="T43" s="2">
        <v>271.27499389648398</v>
      </c>
      <c r="U43" s="2">
        <v>93.089996337890597</v>
      </c>
      <c r="V43" s="2">
        <v>921.20001220703102</v>
      </c>
      <c r="W43" s="2">
        <v>397.42498779296801</v>
      </c>
      <c r="X43" s="2">
        <v>492.89999389648398</v>
      </c>
      <c r="Y43" s="2">
        <v>1582.09997558593</v>
      </c>
      <c r="Z43" s="2">
        <v>1638.34997558593</v>
      </c>
      <c r="AA43" s="2">
        <v>561.40002441406205</v>
      </c>
      <c r="AB43" s="2">
        <v>619.45001220703102</v>
      </c>
      <c r="AC43" s="2">
        <v>155.80999755859301</v>
      </c>
      <c r="AD43" s="2">
        <v>106.400001525878</v>
      </c>
      <c r="AE43" s="2">
        <v>1355.75</v>
      </c>
      <c r="AG43" s="2">
        <v>17542.80078125</v>
      </c>
      <c r="AH43" s="2">
        <v>58766.58984375</v>
      </c>
      <c r="AI43" s="2">
        <v>28789.30078125</v>
      </c>
    </row>
    <row r="44" spans="1:35" x14ac:dyDescent="0.3">
      <c r="A44" s="1">
        <v>44806</v>
      </c>
      <c r="B44" s="2">
        <v>90.849998474121094</v>
      </c>
      <c r="C44" s="2">
        <v>1034.80004882812</v>
      </c>
      <c r="D44" s="2">
        <v>3424.44995117187</v>
      </c>
      <c r="E44" s="2">
        <v>86.232467651367102</v>
      </c>
      <c r="F44" s="2">
        <v>422.54998779296801</v>
      </c>
      <c r="G44" s="2">
        <v>2304.39990234375</v>
      </c>
      <c r="H44" s="2">
        <v>23.90625</v>
      </c>
      <c r="I44" s="2">
        <v>3236.14990234375</v>
      </c>
      <c r="J44" s="2">
        <v>57.770000457763601</v>
      </c>
      <c r="K44" s="2">
        <v>224.25</v>
      </c>
      <c r="L44" s="2">
        <v>101.650001525878</v>
      </c>
      <c r="M44" s="2">
        <v>5846.75</v>
      </c>
      <c r="N44" s="2">
        <v>1015.15002441406</v>
      </c>
      <c r="O44" s="2">
        <v>94</v>
      </c>
      <c r="P44" s="2">
        <v>186.80000305175699</v>
      </c>
      <c r="Q44" s="2">
        <v>515.09997558593705</v>
      </c>
      <c r="R44" s="2">
        <v>219.669998168945</v>
      </c>
      <c r="S44" s="2">
        <v>21.899999618530199</v>
      </c>
      <c r="T44" s="2">
        <v>270.24374389648398</v>
      </c>
      <c r="U44" s="2">
        <v>90.970001220703097</v>
      </c>
      <c r="V44" s="2">
        <v>896.09997558593705</v>
      </c>
      <c r="W44" s="2">
        <v>392.89999389648398</v>
      </c>
      <c r="X44" s="2">
        <v>490.70001220703102</v>
      </c>
      <c r="Y44" s="2">
        <v>1581</v>
      </c>
      <c r="Z44" s="2">
        <v>1666</v>
      </c>
      <c r="AA44" s="2">
        <v>580.40002441406205</v>
      </c>
      <c r="AB44" s="2">
        <v>620.04998779296795</v>
      </c>
      <c r="AC44" s="2">
        <v>157.18499755859301</v>
      </c>
      <c r="AD44" s="2">
        <v>105.5</v>
      </c>
      <c r="AE44" s="2">
        <v>1368.5</v>
      </c>
      <c r="AG44" s="2">
        <v>17539.44921875</v>
      </c>
      <c r="AH44" s="2">
        <v>58803.328125</v>
      </c>
      <c r="AI44" s="2">
        <v>28800.8203125</v>
      </c>
    </row>
    <row r="45" spans="1:35" x14ac:dyDescent="0.3">
      <c r="A45" s="1">
        <v>44809</v>
      </c>
      <c r="B45" s="2">
        <v>95.25</v>
      </c>
      <c r="C45" s="2">
        <v>1057.40002441406</v>
      </c>
      <c r="D45" s="2">
        <v>3438.10009765625</v>
      </c>
      <c r="E45" s="2">
        <v>87.332458496093693</v>
      </c>
      <c r="F45" s="2">
        <v>415.5</v>
      </c>
      <c r="G45" s="2">
        <v>2304.60009765625</v>
      </c>
      <c r="H45" s="2">
        <v>23.6375007629394</v>
      </c>
      <c r="I45" s="2">
        <v>3328.05004882812</v>
      </c>
      <c r="J45" s="2">
        <v>57.580001831054602</v>
      </c>
      <c r="K45" s="2">
        <v>232.25</v>
      </c>
      <c r="L45" s="2">
        <v>100.48999786376901</v>
      </c>
      <c r="M45" s="2">
        <v>5825.89990234375</v>
      </c>
      <c r="N45" s="2">
        <v>1035.34997558593</v>
      </c>
      <c r="O45" s="2">
        <v>95.699996948242102</v>
      </c>
      <c r="P45" s="2">
        <v>185.89999389648401</v>
      </c>
      <c r="Q45" s="2">
        <v>540.84997558593705</v>
      </c>
      <c r="R45" s="2">
        <v>226.009994506835</v>
      </c>
      <c r="S45" s="2">
        <v>22.149999618530199</v>
      </c>
      <c r="T45" s="2">
        <v>268.89373779296801</v>
      </c>
      <c r="U45" s="2">
        <v>91.940002441406193</v>
      </c>
      <c r="V45" s="2">
        <v>902.75</v>
      </c>
      <c r="W45" s="2">
        <v>389.07501220703102</v>
      </c>
      <c r="X45" s="2">
        <v>493.04998779296801</v>
      </c>
      <c r="Y45" s="2">
        <v>1592.90002441406</v>
      </c>
      <c r="Z45" s="2">
        <v>1683.5</v>
      </c>
      <c r="AA45" s="2">
        <v>625.25</v>
      </c>
      <c r="AB45" s="2">
        <v>631</v>
      </c>
      <c r="AC45" s="2">
        <v>155.94999694824199</v>
      </c>
      <c r="AD45" s="2">
        <v>106.900001525878</v>
      </c>
      <c r="AE45" s="2">
        <v>1357.25</v>
      </c>
      <c r="AG45" s="2">
        <v>17665.80078125</v>
      </c>
      <c r="AH45" s="2">
        <v>59245.98046875</v>
      </c>
      <c r="AI45" s="2">
        <v>29056.740234375</v>
      </c>
    </row>
    <row r="46" spans="1:35" x14ac:dyDescent="0.3">
      <c r="A46" s="1">
        <v>44810</v>
      </c>
      <c r="B46" s="2">
        <v>99.400001525878906</v>
      </c>
      <c r="C46" s="2">
        <v>1057.19995117187</v>
      </c>
      <c r="D46" s="2">
        <v>3452</v>
      </c>
      <c r="E46" s="2">
        <v>87.565788269042898</v>
      </c>
      <c r="F46" s="2">
        <v>412.14999389648398</v>
      </c>
      <c r="G46" s="2">
        <v>2289.19995117187</v>
      </c>
      <c r="H46" s="2">
        <v>25.149999618530199</v>
      </c>
      <c r="I46" s="2">
        <v>3574.25</v>
      </c>
      <c r="J46" s="2">
        <v>57.75</v>
      </c>
      <c r="K46" s="2">
        <v>231.600006103515</v>
      </c>
      <c r="L46" s="2">
        <v>106.879997253417</v>
      </c>
      <c r="M46" s="2">
        <v>5775.25</v>
      </c>
      <c r="N46" s="2">
        <v>1037</v>
      </c>
      <c r="O46" s="2">
        <v>98.050003051757798</v>
      </c>
      <c r="P46" s="2">
        <v>183.25</v>
      </c>
      <c r="Q46" s="2">
        <v>513.84997558593705</v>
      </c>
      <c r="R46" s="2">
        <v>224.259994506835</v>
      </c>
      <c r="S46" s="2">
        <v>22.399999618530199</v>
      </c>
      <c r="T46" s="2">
        <v>267.39373779296801</v>
      </c>
      <c r="U46" s="2">
        <v>89.889999389648395</v>
      </c>
      <c r="V46" s="2">
        <v>897.65002441406205</v>
      </c>
      <c r="W46" s="2">
        <v>389.82501220703102</v>
      </c>
      <c r="X46" s="2">
        <v>483.75</v>
      </c>
      <c r="Y46" s="2">
        <v>1589.25</v>
      </c>
      <c r="Z46" s="2">
        <v>1670.09997558593</v>
      </c>
      <c r="AA46" s="2">
        <v>659.65002441406205</v>
      </c>
      <c r="AB46" s="2">
        <v>650.79998779296795</v>
      </c>
      <c r="AC46" s="2">
        <v>160.36999511718699</v>
      </c>
      <c r="AD46" s="2">
        <v>108.59999847412099</v>
      </c>
      <c r="AE46" s="2">
        <v>1318.34997558593</v>
      </c>
      <c r="AG46" s="2">
        <v>17655.599609375</v>
      </c>
      <c r="AH46" s="2">
        <v>59196.98828125</v>
      </c>
      <c r="AI46" s="2">
        <v>29086.439453125</v>
      </c>
    </row>
    <row r="47" spans="1:35" x14ac:dyDescent="0.3">
      <c r="A47" s="1">
        <v>44811</v>
      </c>
      <c r="B47" s="2">
        <v>99.449996948242102</v>
      </c>
      <c r="C47" s="2">
        <v>1051.40002441406</v>
      </c>
      <c r="D47" s="2">
        <v>3433.10009765625</v>
      </c>
      <c r="E47" s="2">
        <v>87.732452392578097</v>
      </c>
      <c r="F47" s="2">
        <v>419.45001220703102</v>
      </c>
      <c r="G47" s="2">
        <v>2306.19995117187</v>
      </c>
      <c r="H47" s="2">
        <v>24.940624237060501</v>
      </c>
      <c r="I47" s="2">
        <v>3501.94995117187</v>
      </c>
      <c r="J47" s="2">
        <v>57.970001220703097</v>
      </c>
      <c r="K47" s="2">
        <v>234.80000305175699</v>
      </c>
      <c r="L47" s="2">
        <v>109.44000244140599</v>
      </c>
      <c r="M47" s="2">
        <v>5733.2001953125</v>
      </c>
      <c r="N47" s="2">
        <v>1066.84997558593</v>
      </c>
      <c r="O47" s="2">
        <v>98</v>
      </c>
      <c r="P47" s="2">
        <v>199.05000305175699</v>
      </c>
      <c r="Q47" s="2">
        <v>488.20001220703102</v>
      </c>
      <c r="R47" s="2">
        <v>224.169998168945</v>
      </c>
      <c r="S47" s="2">
        <v>22.75</v>
      </c>
      <c r="T47" s="2">
        <v>268.03125</v>
      </c>
      <c r="U47" s="2">
        <v>89.620002746582003</v>
      </c>
      <c r="V47" s="2">
        <v>887.34997558593705</v>
      </c>
      <c r="W47" s="2">
        <v>399.82501220703102</v>
      </c>
      <c r="X47" s="2">
        <v>494.29998779296801</v>
      </c>
      <c r="Y47" s="2">
        <v>1615.65002441406</v>
      </c>
      <c r="Z47" s="2">
        <v>1673.34997558593</v>
      </c>
      <c r="AA47" s="2">
        <v>766.09997558593705</v>
      </c>
      <c r="AB47" s="2">
        <v>657.34997558593705</v>
      </c>
      <c r="AC47" s="2">
        <v>157.32499694824199</v>
      </c>
      <c r="AD47" s="2">
        <v>107.59999847412099</v>
      </c>
      <c r="AE47" s="2">
        <v>1305.05004882812</v>
      </c>
      <c r="AG47" s="2">
        <v>17624.400390625</v>
      </c>
      <c r="AH47" s="2">
        <v>59028.91015625</v>
      </c>
      <c r="AI47" s="2">
        <v>29298.669921875</v>
      </c>
    </row>
    <row r="48" spans="1:35" x14ac:dyDescent="0.3">
      <c r="A48" s="1">
        <v>44812</v>
      </c>
      <c r="B48" s="2">
        <v>99.650001525878906</v>
      </c>
      <c r="C48" s="2">
        <v>1031.30004882812</v>
      </c>
      <c r="D48" s="2">
        <v>3619.80004882812</v>
      </c>
      <c r="E48" s="2">
        <v>90.465759277343693</v>
      </c>
      <c r="F48" s="2">
        <v>432.100006103515</v>
      </c>
      <c r="G48" s="2">
        <v>2371.10009765625</v>
      </c>
      <c r="H48" s="2">
        <v>24.612499237060501</v>
      </c>
      <c r="I48" s="2">
        <v>3545.94995117187</v>
      </c>
      <c r="J48" s="2">
        <v>58.200000762939403</v>
      </c>
      <c r="K48" s="2">
        <v>229.19999694824199</v>
      </c>
      <c r="L48" s="2">
        <v>110.889999389648</v>
      </c>
      <c r="M48" s="2">
        <v>5753.5</v>
      </c>
      <c r="N48" s="2">
        <v>1055.59997558593</v>
      </c>
      <c r="O48" s="2">
        <v>97.400001525878906</v>
      </c>
      <c r="P48" s="2">
        <v>195.30000305175699</v>
      </c>
      <c r="Q48" s="2">
        <v>463.79998779296801</v>
      </c>
      <c r="R48" s="2">
        <v>230.350006103515</v>
      </c>
      <c r="S48" s="2">
        <v>23.2000007629394</v>
      </c>
      <c r="T48" s="2">
        <v>285.350006103515</v>
      </c>
      <c r="U48" s="2">
        <v>91.214996337890597</v>
      </c>
      <c r="V48" s="2">
        <v>887.34997558593705</v>
      </c>
      <c r="W48" s="2">
        <v>396.70001220703102</v>
      </c>
      <c r="X48" s="2">
        <v>491.20001220703102</v>
      </c>
      <c r="Y48" s="2">
        <v>1633.44995117187</v>
      </c>
      <c r="Z48" s="2">
        <v>1666</v>
      </c>
      <c r="AA48" s="2">
        <v>781.40002441406205</v>
      </c>
      <c r="AB48" s="2">
        <v>687.34997558593705</v>
      </c>
      <c r="AC48" s="2">
        <v>161.259994506835</v>
      </c>
      <c r="AD48" s="2">
        <v>105.84999847412099</v>
      </c>
      <c r="AE48" s="2">
        <v>1304.34997558593</v>
      </c>
      <c r="AG48" s="2">
        <v>17798.75</v>
      </c>
      <c r="AH48" s="2">
        <v>59688.21875</v>
      </c>
      <c r="AI48" s="2">
        <v>29474.630859375</v>
      </c>
    </row>
    <row r="49" spans="1:35" x14ac:dyDescent="0.3">
      <c r="A49" s="1">
        <v>44813</v>
      </c>
      <c r="B49" s="2">
        <v>106.199996948242</v>
      </c>
      <c r="C49" s="2">
        <v>1017.25</v>
      </c>
      <c r="D49" s="2">
        <v>3605.75</v>
      </c>
      <c r="E49" s="2">
        <v>89.799102783203097</v>
      </c>
      <c r="F49" s="2">
        <v>432.79998779296801</v>
      </c>
      <c r="G49" s="2">
        <v>2464.44995117187</v>
      </c>
      <c r="H49" s="2">
        <v>24.625</v>
      </c>
      <c r="I49" s="2">
        <v>3574.69995117187</v>
      </c>
      <c r="J49" s="2">
        <v>57.490001678466797</v>
      </c>
      <c r="K49" s="2">
        <v>229.14999389648401</v>
      </c>
      <c r="L49" s="2">
        <v>119.720001220703</v>
      </c>
      <c r="M49" s="2">
        <v>5816.10009765625</v>
      </c>
      <c r="N49" s="2">
        <v>1043.34997558593</v>
      </c>
      <c r="O49" s="2">
        <v>98.199996948242102</v>
      </c>
      <c r="P49" s="2">
        <v>192.94999694824199</v>
      </c>
      <c r="Q49" s="2">
        <v>440.64999389648398</v>
      </c>
      <c r="R49" s="2">
        <v>229.41000366210901</v>
      </c>
      <c r="S49" s="2">
        <v>24.799999237060501</v>
      </c>
      <c r="T49" s="2">
        <v>292.17498779296801</v>
      </c>
      <c r="U49" s="2">
        <v>89.830001831054602</v>
      </c>
      <c r="V49" s="2">
        <v>885.75</v>
      </c>
      <c r="W49" s="2">
        <v>396.82501220703102</v>
      </c>
      <c r="X49" s="2">
        <v>477.850006103515</v>
      </c>
      <c r="Y49" s="2">
        <v>1629.84997558593</v>
      </c>
      <c r="Z49" s="2">
        <v>1671.84997558593</v>
      </c>
      <c r="AA49" s="2">
        <v>761.75</v>
      </c>
      <c r="AB49" s="2">
        <v>707.79998779296795</v>
      </c>
      <c r="AC49" s="2">
        <v>159.61500549316401</v>
      </c>
      <c r="AD49" s="2">
        <v>105.699996948242</v>
      </c>
      <c r="AE49" s="2">
        <v>1360.19995117187</v>
      </c>
      <c r="AG49" s="2">
        <v>17833.349609375</v>
      </c>
      <c r="AH49" s="2">
        <v>59793.140625</v>
      </c>
      <c r="AI49" s="2">
        <v>29528.740234375</v>
      </c>
    </row>
    <row r="50" spans="1:35" x14ac:dyDescent="0.3">
      <c r="A50" s="1">
        <v>44816</v>
      </c>
      <c r="B50" s="2">
        <v>104.09999847412099</v>
      </c>
      <c r="C50" s="2">
        <v>1010.40002441406</v>
      </c>
      <c r="D50" s="2">
        <v>3653.55004882812</v>
      </c>
      <c r="E50" s="2">
        <v>88.932441711425696</v>
      </c>
      <c r="F50" s="2">
        <v>420.100006103515</v>
      </c>
      <c r="G50" s="2">
        <v>2576.89990234375</v>
      </c>
      <c r="H50" s="2">
        <v>24.649999618530199</v>
      </c>
      <c r="I50" s="2">
        <v>3583.55004882812</v>
      </c>
      <c r="J50" s="2">
        <v>58.659999847412102</v>
      </c>
      <c r="K50" s="2">
        <v>228.64999389648401</v>
      </c>
      <c r="L50" s="2">
        <v>122.669998168945</v>
      </c>
      <c r="M50" s="2">
        <v>5780.10009765625</v>
      </c>
      <c r="N50" s="2">
        <v>1043.59997558593</v>
      </c>
      <c r="O50" s="2">
        <v>107</v>
      </c>
      <c r="P50" s="2">
        <v>199.80000305175699</v>
      </c>
      <c r="Q50" s="2">
        <v>418.64999389648398</v>
      </c>
      <c r="R50" s="2">
        <v>228.67999267578099</v>
      </c>
      <c r="S50" s="2">
        <v>25.7000007629394</v>
      </c>
      <c r="T50" s="2">
        <v>294</v>
      </c>
      <c r="U50" s="2">
        <v>90.114997863769503</v>
      </c>
      <c r="V50" s="2">
        <v>906.95001220703102</v>
      </c>
      <c r="W50" s="2">
        <v>399.20001220703102</v>
      </c>
      <c r="X50" s="2">
        <v>476.5</v>
      </c>
      <c r="Y50" s="2">
        <v>1645.75</v>
      </c>
      <c r="Z50" s="2">
        <v>1646.34997558593</v>
      </c>
      <c r="AA50" s="2">
        <v>843.45001220703102</v>
      </c>
      <c r="AB50" s="2">
        <v>715.65002441406205</v>
      </c>
      <c r="AC50" s="2">
        <v>166.91000366210901</v>
      </c>
      <c r="AD50" s="2">
        <v>107.75</v>
      </c>
      <c r="AE50" s="2">
        <v>1339.75</v>
      </c>
      <c r="AG50" s="2">
        <v>17936.349609375</v>
      </c>
      <c r="AH50" s="2">
        <v>60115.12890625</v>
      </c>
      <c r="AI50" s="2">
        <v>29823.6796875</v>
      </c>
    </row>
    <row r="51" spans="1:35" x14ac:dyDescent="0.3">
      <c r="A51" s="1">
        <v>44817</v>
      </c>
      <c r="B51" s="2">
        <v>102</v>
      </c>
      <c r="C51" s="2">
        <v>1029.40002441406</v>
      </c>
      <c r="D51" s="2">
        <v>3655.35009765625</v>
      </c>
      <c r="E51" s="2">
        <v>87.465789794921804</v>
      </c>
      <c r="F51" s="2">
        <v>431.14999389648398</v>
      </c>
      <c r="G51" s="2">
        <v>2603.44995117187</v>
      </c>
      <c r="H51" s="2">
        <v>25.212499618530199</v>
      </c>
      <c r="I51" s="2">
        <v>3549.60009765625</v>
      </c>
      <c r="J51" s="2">
        <v>60.130001068115199</v>
      </c>
      <c r="K51" s="2">
        <v>230.14999389648401</v>
      </c>
      <c r="L51" s="2">
        <v>118.050003051757</v>
      </c>
      <c r="M51" s="2">
        <v>5821</v>
      </c>
      <c r="N51" s="2">
        <v>1048.65002441406</v>
      </c>
      <c r="O51" s="2">
        <v>105.300003051757</v>
      </c>
      <c r="P51" s="2">
        <v>197.89999389648401</v>
      </c>
      <c r="Q51" s="2">
        <v>439.54998779296801</v>
      </c>
      <c r="R51" s="2">
        <v>232.13999938964801</v>
      </c>
      <c r="S51" s="2">
        <v>26.100000381469702</v>
      </c>
      <c r="T51" s="2">
        <v>289.57501220703102</v>
      </c>
      <c r="U51" s="2">
        <v>89.165000915527301</v>
      </c>
      <c r="V51" s="2">
        <v>913.40002441406205</v>
      </c>
      <c r="W51" s="2">
        <v>396.07501220703102</v>
      </c>
      <c r="X51" s="2">
        <v>482.14999389648398</v>
      </c>
      <c r="Y51" s="2">
        <v>1737.75</v>
      </c>
      <c r="Z51" s="2">
        <v>1613.80004882812</v>
      </c>
      <c r="AA51" s="2">
        <v>831.04998779296795</v>
      </c>
      <c r="AB51" s="2">
        <v>702.5</v>
      </c>
      <c r="AC51" s="2">
        <v>167.58000183105401</v>
      </c>
      <c r="AD51" s="2">
        <v>107.75</v>
      </c>
      <c r="AE51" s="2">
        <v>1364.25</v>
      </c>
      <c r="AG51" s="2">
        <v>18070.05078125</v>
      </c>
      <c r="AH51" s="2">
        <v>60571.078125</v>
      </c>
      <c r="AI51" s="2">
        <v>29893.970703125</v>
      </c>
    </row>
    <row r="52" spans="1:35" x14ac:dyDescent="0.3">
      <c r="A52" s="1">
        <v>44818</v>
      </c>
      <c r="B52" s="2">
        <v>100.150001525878</v>
      </c>
      <c r="C52" s="2">
        <v>1055.65002441406</v>
      </c>
      <c r="D52" s="2">
        <v>3680.14990234375</v>
      </c>
      <c r="E52" s="2">
        <v>86.565803527832003</v>
      </c>
      <c r="F52" s="2">
        <v>428.20001220703102</v>
      </c>
      <c r="G52" s="2">
        <v>2593.10009765625</v>
      </c>
      <c r="H52" s="2">
        <v>24.693750381469702</v>
      </c>
      <c r="I52" s="2">
        <v>3506.94995117187</v>
      </c>
      <c r="J52" s="2">
        <v>60.549999237060497</v>
      </c>
      <c r="K52" s="2">
        <v>238.25</v>
      </c>
      <c r="L52" s="2">
        <v>118.629997253417</v>
      </c>
      <c r="M52" s="2">
        <v>5921.39990234375</v>
      </c>
      <c r="N52" s="2">
        <v>1064.15002441406</v>
      </c>
      <c r="O52" s="2">
        <v>103.400001525878</v>
      </c>
      <c r="P52" s="2">
        <v>197.725006103515</v>
      </c>
      <c r="Q52" s="2">
        <v>461.5</v>
      </c>
      <c r="R52" s="2">
        <v>246.83000183105401</v>
      </c>
      <c r="S52" s="2">
        <v>25.149999618530199</v>
      </c>
      <c r="T52" s="2">
        <v>283.625</v>
      </c>
      <c r="U52" s="2">
        <v>88.264999389648395</v>
      </c>
      <c r="V52" s="2">
        <v>927.04998779296795</v>
      </c>
      <c r="W52" s="2">
        <v>390.79998779296801</v>
      </c>
      <c r="X52" s="2">
        <v>477.95001220703102</v>
      </c>
      <c r="Y52" s="2">
        <v>1712.75</v>
      </c>
      <c r="Z52" s="2">
        <v>1632.30004882812</v>
      </c>
      <c r="AA52" s="2">
        <v>879.70001220703102</v>
      </c>
      <c r="AB52" s="2">
        <v>700.59997558593705</v>
      </c>
      <c r="AC52" s="2">
        <v>167.98500061035099</v>
      </c>
      <c r="AD52" s="2">
        <v>109.150001525878</v>
      </c>
      <c r="AE52" s="2">
        <v>1357.15002441406</v>
      </c>
      <c r="AG52" s="2">
        <v>18003.75</v>
      </c>
      <c r="AH52" s="2">
        <v>60346.96875</v>
      </c>
      <c r="AI52" s="2">
        <v>29892.369140625</v>
      </c>
    </row>
    <row r="53" spans="1:35" x14ac:dyDescent="0.3">
      <c r="A53" s="1">
        <v>44819</v>
      </c>
      <c r="B53" s="2">
        <v>99.699996948242102</v>
      </c>
      <c r="C53" s="2">
        <v>1063.40002441406</v>
      </c>
      <c r="D53" s="2">
        <v>3739.5</v>
      </c>
      <c r="E53" s="2">
        <v>85.4991455078125</v>
      </c>
      <c r="F53" s="2">
        <v>429.29998779296801</v>
      </c>
      <c r="G53" s="2">
        <v>2594.30004882812</v>
      </c>
      <c r="H53" s="2">
        <v>24.584375381469702</v>
      </c>
      <c r="I53" s="2">
        <v>3437.05004882812</v>
      </c>
      <c r="J53" s="2">
        <v>58.790000915527301</v>
      </c>
      <c r="K53" s="2">
        <v>236.5</v>
      </c>
      <c r="L53" s="2">
        <v>125.77999877929599</v>
      </c>
      <c r="M53" s="2">
        <v>5887</v>
      </c>
      <c r="N53" s="2">
        <v>1065</v>
      </c>
      <c r="O53" s="2">
        <v>101.09999847412099</v>
      </c>
      <c r="P53" s="2">
        <v>196.75</v>
      </c>
      <c r="Q53" s="2">
        <v>484.54998779296801</v>
      </c>
      <c r="R53" s="2">
        <v>250.16000366210901</v>
      </c>
      <c r="S53" s="2">
        <v>26.2000007629394</v>
      </c>
      <c r="T53" s="2">
        <v>286.350006103515</v>
      </c>
      <c r="U53" s="2">
        <v>88.635002136230398</v>
      </c>
      <c r="V53" s="2">
        <v>920.59997558593705</v>
      </c>
      <c r="W53" s="2">
        <v>397.77499389648398</v>
      </c>
      <c r="X53" s="2">
        <v>475.29998779296801</v>
      </c>
      <c r="Y53" s="2">
        <v>1700.55004882812</v>
      </c>
      <c r="Z53" s="2">
        <v>1638.44995117187</v>
      </c>
      <c r="AA53" s="2">
        <v>881.79998779296795</v>
      </c>
      <c r="AB53" s="2">
        <v>711.40002441406205</v>
      </c>
      <c r="AC53" s="2">
        <v>165.71499633789</v>
      </c>
      <c r="AD53" s="2">
        <v>107</v>
      </c>
      <c r="AE53" s="2">
        <v>1326.5</v>
      </c>
      <c r="AG53" s="2">
        <v>17877.400390625</v>
      </c>
      <c r="AH53" s="2">
        <v>59934.01171875</v>
      </c>
      <c r="AI53" s="2">
        <v>29911.509765625</v>
      </c>
    </row>
    <row r="54" spans="1:35" x14ac:dyDescent="0.3">
      <c r="A54" s="1">
        <v>44820</v>
      </c>
      <c r="B54" s="2">
        <v>94.599998474121094</v>
      </c>
      <c r="C54" s="2">
        <v>1068.40002441406</v>
      </c>
      <c r="D54" s="2">
        <v>3582.05004882812</v>
      </c>
      <c r="E54" s="2">
        <v>83.099166870117102</v>
      </c>
      <c r="F54" s="2">
        <v>435.20001220703102</v>
      </c>
      <c r="G54" s="2">
        <v>2534.60009765625</v>
      </c>
      <c r="H54" s="2">
        <v>25.975000381469702</v>
      </c>
      <c r="I54" s="2">
        <v>3354.30004882812</v>
      </c>
      <c r="J54" s="2">
        <v>57.790000915527301</v>
      </c>
      <c r="K54" s="2">
        <v>229.55000305175699</v>
      </c>
      <c r="L54" s="2">
        <v>120.699996948242</v>
      </c>
      <c r="M54" s="2">
        <v>5768.35009765625</v>
      </c>
      <c r="N54" s="2">
        <v>1048.69995117187</v>
      </c>
      <c r="O54" s="2">
        <v>96.599998474121094</v>
      </c>
      <c r="P54" s="2">
        <v>188.44999694824199</v>
      </c>
      <c r="Q54" s="2">
        <v>463.64999389648398</v>
      </c>
      <c r="R54" s="2">
        <v>250.27999877929599</v>
      </c>
      <c r="S54" s="2">
        <v>25.5</v>
      </c>
      <c r="T54" s="2">
        <v>280.850006103515</v>
      </c>
      <c r="U54" s="2">
        <v>86.900001525878906</v>
      </c>
      <c r="V54" s="2">
        <v>899.90002441406205</v>
      </c>
      <c r="W54" s="2">
        <v>380</v>
      </c>
      <c r="X54" s="2">
        <v>461.45001220703102</v>
      </c>
      <c r="Y54" s="2">
        <v>1699.44995117187</v>
      </c>
      <c r="Z54" s="2">
        <v>1645.90002441406</v>
      </c>
      <c r="AA54" s="2">
        <v>853.75</v>
      </c>
      <c r="AB54" s="2">
        <v>713.15002441406205</v>
      </c>
      <c r="AC54" s="2">
        <v>158.52000427246</v>
      </c>
      <c r="AD54" s="2">
        <v>105.699996948242</v>
      </c>
      <c r="AE54" s="2">
        <v>1301.15002441406</v>
      </c>
      <c r="AG54" s="2">
        <v>17530.849609375</v>
      </c>
      <c r="AH54" s="2">
        <v>58840.7890625</v>
      </c>
      <c r="AI54" s="2">
        <v>29199.390625</v>
      </c>
    </row>
    <row r="55" spans="1:35" x14ac:dyDescent="0.3">
      <c r="A55" s="1">
        <v>44823</v>
      </c>
      <c r="B55" s="2">
        <v>94.349998474121094</v>
      </c>
      <c r="C55" s="2">
        <v>1086.65002441406</v>
      </c>
      <c r="D55" s="2">
        <v>3557.05004882812</v>
      </c>
      <c r="E55" s="2">
        <v>83.465827941894503</v>
      </c>
      <c r="F55" s="2">
        <v>424.100006103515</v>
      </c>
      <c r="G55" s="2">
        <v>2461.30004882812</v>
      </c>
      <c r="H55" s="2">
        <v>25.765625</v>
      </c>
      <c r="I55" s="2">
        <v>3294.60009765625</v>
      </c>
      <c r="J55" s="2">
        <v>57.020000457763601</v>
      </c>
      <c r="K55" s="2">
        <v>227.600006103515</v>
      </c>
      <c r="L55" s="2">
        <v>122.400001525878</v>
      </c>
      <c r="M55" s="2">
        <v>5803.2001953125</v>
      </c>
      <c r="N55" s="2">
        <v>1026.5</v>
      </c>
      <c r="O55" s="2">
        <v>96.349998474121094</v>
      </c>
      <c r="P55" s="2">
        <v>188.02499389648401</v>
      </c>
      <c r="Q55" s="2">
        <v>440.600006103515</v>
      </c>
      <c r="R55" s="2">
        <v>261.010009765625</v>
      </c>
      <c r="S55" s="2">
        <v>24.899999618530199</v>
      </c>
      <c r="T55" s="2">
        <v>274.875</v>
      </c>
      <c r="U55" s="2">
        <v>86.754997253417898</v>
      </c>
      <c r="V55" s="2">
        <v>888.95001220703102</v>
      </c>
      <c r="W55" s="2">
        <v>388.27499389648398</v>
      </c>
      <c r="X55" s="2">
        <v>459.95001220703102</v>
      </c>
      <c r="Y55" s="2">
        <v>1695.25</v>
      </c>
      <c r="Z55" s="2">
        <v>1636.55004882812</v>
      </c>
      <c r="AA55" s="2">
        <v>835.09997558593705</v>
      </c>
      <c r="AB55" s="2">
        <v>706.29998779296795</v>
      </c>
      <c r="AC55" s="2">
        <v>157.49000549316401</v>
      </c>
      <c r="AD55" s="2">
        <v>103.09999847412099</v>
      </c>
      <c r="AE55" s="2">
        <v>1276.5</v>
      </c>
      <c r="AG55" s="2">
        <v>17622.25</v>
      </c>
      <c r="AH55" s="2">
        <v>59141.23046875</v>
      </c>
      <c r="AI55" s="2">
        <v>29149.779296875</v>
      </c>
    </row>
    <row r="56" spans="1:35" x14ac:dyDescent="0.3">
      <c r="A56" s="1">
        <v>44824</v>
      </c>
      <c r="B56" s="2">
        <v>94.949996948242102</v>
      </c>
      <c r="C56" s="2">
        <v>1070.09997558593</v>
      </c>
      <c r="D56" s="2">
        <v>3619.5</v>
      </c>
      <c r="E56" s="2">
        <v>83.665832519531193</v>
      </c>
      <c r="F56" s="2">
        <v>440.95001220703102</v>
      </c>
      <c r="G56" s="2">
        <v>2479.60009765625</v>
      </c>
      <c r="H56" s="2">
        <v>25.71875</v>
      </c>
      <c r="I56" s="2">
        <v>3323.85009765625</v>
      </c>
      <c r="J56" s="2">
        <v>56.610000610351499</v>
      </c>
      <c r="K56" s="2">
        <v>224.39999389648401</v>
      </c>
      <c r="L56" s="2">
        <v>119.86000061035099</v>
      </c>
      <c r="M56" s="2">
        <v>5834.7998046875</v>
      </c>
      <c r="N56" s="2">
        <v>1017.34997558593</v>
      </c>
      <c r="O56" s="2">
        <v>97.849998474121094</v>
      </c>
      <c r="P56" s="2">
        <v>188.94999694824199</v>
      </c>
      <c r="Q56" s="2">
        <v>440.95001220703102</v>
      </c>
      <c r="R56" s="2">
        <v>260.97000122070301</v>
      </c>
      <c r="S56" s="2">
        <v>24.549999237060501</v>
      </c>
      <c r="T56" s="2">
        <v>271.850006103515</v>
      </c>
      <c r="U56" s="2">
        <v>85.385002136230398</v>
      </c>
      <c r="V56" s="2">
        <v>888.84997558593705</v>
      </c>
      <c r="W56" s="2">
        <v>386.5</v>
      </c>
      <c r="X56" s="2">
        <v>462.25</v>
      </c>
      <c r="Y56" s="2">
        <v>1694.84997558593</v>
      </c>
      <c r="Z56" s="2">
        <v>1635.44995117187</v>
      </c>
      <c r="AA56" s="2">
        <v>827.5</v>
      </c>
      <c r="AB56" s="2">
        <v>707.95001220703102</v>
      </c>
      <c r="AC56" s="2">
        <v>159.49000549316401</v>
      </c>
      <c r="AD56" s="2">
        <v>105.800003051757</v>
      </c>
      <c r="AE56" s="2">
        <v>1279.19995117187</v>
      </c>
      <c r="AG56" s="2">
        <v>17816.25</v>
      </c>
      <c r="AH56" s="2">
        <v>59719.73828125</v>
      </c>
      <c r="AI56" s="2">
        <v>29442.7890625</v>
      </c>
    </row>
    <row r="57" spans="1:35" x14ac:dyDescent="0.3">
      <c r="A57" s="1">
        <v>44825</v>
      </c>
      <c r="B57" s="2">
        <v>95.150001525878906</v>
      </c>
      <c r="C57" s="2">
        <v>1063.75</v>
      </c>
      <c r="D57" s="2">
        <v>3565.89990234375</v>
      </c>
      <c r="E57" s="2">
        <v>83.999160766601506</v>
      </c>
      <c r="F57" s="2">
        <v>434</v>
      </c>
      <c r="G57" s="2">
        <v>2439.94995117187</v>
      </c>
      <c r="H57" s="2">
        <v>26.274999618530199</v>
      </c>
      <c r="I57" s="2">
        <v>3245.10009765625</v>
      </c>
      <c r="J57" s="2">
        <v>55.860000610351499</v>
      </c>
      <c r="K57" s="2">
        <v>228.94999694824199</v>
      </c>
      <c r="L57" s="2">
        <v>120.959999084472</v>
      </c>
      <c r="M57" s="2">
        <v>5819.7001953125</v>
      </c>
      <c r="N57" s="2">
        <v>1012.65002441406</v>
      </c>
      <c r="O57" s="2">
        <v>97.150001525878906</v>
      </c>
      <c r="P57" s="2">
        <v>180</v>
      </c>
      <c r="Q57" s="2">
        <v>422.25</v>
      </c>
      <c r="R57" s="2">
        <v>256.83999633789</v>
      </c>
      <c r="S57" s="2">
        <v>24.25</v>
      </c>
      <c r="T57" s="2">
        <v>270.77499389648398</v>
      </c>
      <c r="U57" s="2">
        <v>85.400001525878906</v>
      </c>
      <c r="V57" s="2">
        <v>886.59997558593705</v>
      </c>
      <c r="W57" s="2">
        <v>383.25</v>
      </c>
      <c r="X57" s="2">
        <v>459.89999389648398</v>
      </c>
      <c r="Y57" s="2">
        <v>1817.30004882812</v>
      </c>
      <c r="Z57" s="2">
        <v>1602</v>
      </c>
      <c r="AA57" s="2">
        <v>831.45001220703102</v>
      </c>
      <c r="AB57" s="2">
        <v>689.5</v>
      </c>
      <c r="AC57" s="2">
        <v>157.90499877929599</v>
      </c>
      <c r="AD57" s="2">
        <v>104.449996948242</v>
      </c>
      <c r="AE57" s="2">
        <v>1271.90002441406</v>
      </c>
      <c r="AG57" s="2">
        <v>17718.349609375</v>
      </c>
      <c r="AH57" s="2">
        <v>59456.78125</v>
      </c>
      <c r="AI57" s="2">
        <v>29238.990234375</v>
      </c>
    </row>
    <row r="58" spans="1:35" x14ac:dyDescent="0.3">
      <c r="A58" s="1">
        <v>44826</v>
      </c>
      <c r="B58" s="2">
        <v>94.050003051757798</v>
      </c>
      <c r="C58" s="2">
        <v>1068.19995117187</v>
      </c>
      <c r="D58" s="2">
        <v>3591.35009765625</v>
      </c>
      <c r="E58" s="2">
        <v>82.065841674804602</v>
      </c>
      <c r="F58" s="2">
        <v>429.25</v>
      </c>
      <c r="G58" s="2">
        <v>2566.89990234375</v>
      </c>
      <c r="H58" s="2">
        <v>25.399999618530199</v>
      </c>
      <c r="I58" s="2">
        <v>3269.14990234375</v>
      </c>
      <c r="J58" s="2">
        <v>56.889999389648402</v>
      </c>
      <c r="K58" s="2">
        <v>224.94999694824199</v>
      </c>
      <c r="L58" s="2">
        <v>129.100006103515</v>
      </c>
      <c r="M58" s="2">
        <v>5904.39990234375</v>
      </c>
      <c r="N58" s="2">
        <v>1013.25</v>
      </c>
      <c r="O58" s="2">
        <v>96.949996948242102</v>
      </c>
      <c r="P58" s="2">
        <v>181.375</v>
      </c>
      <c r="Q58" s="2">
        <v>408.75</v>
      </c>
      <c r="R58" s="2">
        <v>253.77999877929599</v>
      </c>
      <c r="S58" s="2">
        <v>24.549999237060501</v>
      </c>
      <c r="T58" s="2">
        <v>267.92498779296801</v>
      </c>
      <c r="U58" s="2">
        <v>85.254997253417898</v>
      </c>
      <c r="V58" s="2">
        <v>890.95001220703102</v>
      </c>
      <c r="W58" s="2">
        <v>385.225006103515</v>
      </c>
      <c r="X58" s="2">
        <v>448.70001220703102</v>
      </c>
      <c r="Y58" s="2">
        <v>1786.90002441406</v>
      </c>
      <c r="Z58" s="2">
        <v>1614.30004882812</v>
      </c>
      <c r="AA58" s="2">
        <v>827.29998779296795</v>
      </c>
      <c r="AB58" s="2">
        <v>693.90002441406205</v>
      </c>
      <c r="AC58" s="2">
        <v>158.68499755859301</v>
      </c>
      <c r="AD58" s="2">
        <v>103.59999847412099</v>
      </c>
      <c r="AE58" s="2">
        <v>1253.75</v>
      </c>
      <c r="AG58" s="2">
        <v>17629.80078125</v>
      </c>
      <c r="AH58" s="2">
        <v>59119.71875</v>
      </c>
      <c r="AI58" s="2">
        <v>29377.349609375</v>
      </c>
    </row>
    <row r="59" spans="1:35" x14ac:dyDescent="0.3">
      <c r="A59" s="1">
        <v>44827</v>
      </c>
      <c r="B59" s="2">
        <v>92.300003051757798</v>
      </c>
      <c r="C59" s="2">
        <v>1084.34997558593</v>
      </c>
      <c r="D59" s="2">
        <v>3545.5</v>
      </c>
      <c r="E59" s="2">
        <v>81.065856933593693</v>
      </c>
      <c r="F59" s="2">
        <v>425.600006103515</v>
      </c>
      <c r="G59" s="2">
        <v>2550.85009765625</v>
      </c>
      <c r="H59" s="2">
        <v>23.987499237060501</v>
      </c>
      <c r="I59" s="2">
        <v>3231</v>
      </c>
      <c r="J59" s="2">
        <v>55.860000610351499</v>
      </c>
      <c r="K59" s="2">
        <v>222.19999694824199</v>
      </c>
      <c r="L59" s="2">
        <v>132.55999755859301</v>
      </c>
      <c r="M59" s="2">
        <v>5809.75</v>
      </c>
      <c r="N59" s="2">
        <v>992.40002441406205</v>
      </c>
      <c r="O59" s="2">
        <v>95.150001525878906</v>
      </c>
      <c r="P59" s="2">
        <v>176.02499389648401</v>
      </c>
      <c r="Q59" s="2">
        <v>388.350006103515</v>
      </c>
      <c r="R59" s="2">
        <v>252.66000366210901</v>
      </c>
      <c r="S59" s="2">
        <v>24.2000007629394</v>
      </c>
      <c r="T59" s="2">
        <v>259.82501220703102</v>
      </c>
      <c r="U59" s="2">
        <v>82.970001220703097</v>
      </c>
      <c r="V59" s="2">
        <v>878.09997558593705</v>
      </c>
      <c r="W59" s="2">
        <v>379.67498779296801</v>
      </c>
      <c r="X59" s="2">
        <v>436.39999389648398</v>
      </c>
      <c r="Y59" s="2">
        <v>1695.75</v>
      </c>
      <c r="Z59" s="2">
        <v>1584</v>
      </c>
      <c r="AA59" s="2">
        <v>792.70001220703102</v>
      </c>
      <c r="AB59" s="2">
        <v>685.90002441406205</v>
      </c>
      <c r="AC59" s="2">
        <v>154.46499633789</v>
      </c>
      <c r="AD59" s="2">
        <v>104.300003051757</v>
      </c>
      <c r="AE59" s="2">
        <v>1249.84997558593</v>
      </c>
      <c r="AG59" s="2">
        <v>17327.349609375</v>
      </c>
      <c r="AH59" s="2">
        <v>58098.921875</v>
      </c>
      <c r="AI59" s="2">
        <v>28812.759765625</v>
      </c>
    </row>
    <row r="60" spans="1:35" x14ac:dyDescent="0.3">
      <c r="A60" s="1">
        <v>44830</v>
      </c>
      <c r="B60" s="2">
        <v>88.699996948242102</v>
      </c>
      <c r="C60" s="2">
        <v>1027.05004882812</v>
      </c>
      <c r="D60" s="2">
        <v>3400.64990234375</v>
      </c>
      <c r="E60" s="2">
        <v>76.632568359375</v>
      </c>
      <c r="F60" s="2">
        <v>406</v>
      </c>
      <c r="G60" s="2">
        <v>2442.80004882812</v>
      </c>
      <c r="H60" s="2">
        <v>22.740625381469702</v>
      </c>
      <c r="I60" s="2">
        <v>3185.10009765625</v>
      </c>
      <c r="J60" s="2">
        <v>53.639999389648402</v>
      </c>
      <c r="K60" s="2">
        <v>210.30000305175699</v>
      </c>
      <c r="L60" s="2">
        <v>122.11000061035099</v>
      </c>
      <c r="M60" s="2">
        <v>5768.5</v>
      </c>
      <c r="N60" s="2">
        <v>948.34997558593705</v>
      </c>
      <c r="O60" s="2">
        <v>92.599998474121094</v>
      </c>
      <c r="P60" s="2">
        <v>170.600006103515</v>
      </c>
      <c r="Q60" s="2">
        <v>368.95001220703102</v>
      </c>
      <c r="R60" s="2">
        <v>245.14999389648401</v>
      </c>
      <c r="S60" s="2">
        <v>22.799999237060501</v>
      </c>
      <c r="T60" s="2">
        <v>250</v>
      </c>
      <c r="U60" s="2">
        <v>77.944999694824205</v>
      </c>
      <c r="V60" s="2">
        <v>869.34997558593705</v>
      </c>
      <c r="W60" s="2">
        <v>373.225006103515</v>
      </c>
      <c r="X60" s="2">
        <v>418.70001220703102</v>
      </c>
      <c r="Y60" s="2">
        <v>1585.75</v>
      </c>
      <c r="Z60" s="2">
        <v>1536.55004882812</v>
      </c>
      <c r="AA60" s="2">
        <v>746.20001220703102</v>
      </c>
      <c r="AB60" s="2">
        <v>691.25</v>
      </c>
      <c r="AC60" s="2">
        <v>156.92500305175699</v>
      </c>
      <c r="AD60" s="2">
        <v>99.849998474121094</v>
      </c>
      <c r="AE60" s="2">
        <v>1228.15002441406</v>
      </c>
      <c r="AG60" s="2">
        <v>17016.30078125</v>
      </c>
      <c r="AH60" s="2">
        <v>57145.21875</v>
      </c>
      <c r="AI60" s="2">
        <v>27853.669921875</v>
      </c>
    </row>
    <row r="61" spans="1:35" x14ac:dyDescent="0.3">
      <c r="A61" s="1">
        <v>44831</v>
      </c>
      <c r="B61" s="2">
        <v>89.949996948242102</v>
      </c>
      <c r="C61" s="2">
        <v>1039.34997558593</v>
      </c>
      <c r="D61" s="2">
        <v>3280.5</v>
      </c>
      <c r="E61" s="2">
        <v>78.399215698242102</v>
      </c>
      <c r="F61" s="2">
        <v>410.600006103515</v>
      </c>
      <c r="G61" s="2">
        <v>2414.14990234375</v>
      </c>
      <c r="H61" s="2">
        <v>23.678125381469702</v>
      </c>
      <c r="I61" s="2">
        <v>3146.85009765625</v>
      </c>
      <c r="J61" s="2">
        <v>55.040000915527301</v>
      </c>
      <c r="K61" s="2">
        <v>212.30000305175699</v>
      </c>
      <c r="L61" s="2">
        <v>126.08000183105401</v>
      </c>
      <c r="M61" s="2">
        <v>5757.75</v>
      </c>
      <c r="N61" s="2">
        <v>947.95001220703102</v>
      </c>
      <c r="O61" s="2">
        <v>92.599998474121094</v>
      </c>
      <c r="P61" s="2">
        <v>170.19999694824199</v>
      </c>
      <c r="Q61" s="2">
        <v>350.54998779296801</v>
      </c>
      <c r="R61" s="2">
        <v>245.21000671386699</v>
      </c>
      <c r="S61" s="2">
        <v>23.600000381469702</v>
      </c>
      <c r="T61" s="2">
        <v>256.92498779296801</v>
      </c>
      <c r="U61" s="2">
        <v>77.925003051757798</v>
      </c>
      <c r="V61" s="2">
        <v>863.40002441406205</v>
      </c>
      <c r="W61" s="2">
        <v>386.02499389648398</v>
      </c>
      <c r="X61" s="2">
        <v>425.45001220703102</v>
      </c>
      <c r="Y61" s="2">
        <v>1596.75</v>
      </c>
      <c r="Z61" s="2">
        <v>1530.5</v>
      </c>
      <c r="AA61" s="2">
        <v>734.15002441406205</v>
      </c>
      <c r="AB61" s="2">
        <v>699.34997558593705</v>
      </c>
      <c r="AC61" s="2">
        <v>156.76499938964801</v>
      </c>
      <c r="AD61" s="2">
        <v>97.650001525878906</v>
      </c>
      <c r="AE61" s="2">
        <v>1233.19995117187</v>
      </c>
      <c r="AG61" s="2">
        <v>17007.400390625</v>
      </c>
      <c r="AH61" s="2">
        <v>57107.51953125</v>
      </c>
      <c r="AI61" s="2">
        <v>27990.869140625</v>
      </c>
    </row>
    <row r="62" spans="1:35" x14ac:dyDescent="0.3">
      <c r="A62" s="1">
        <v>44832</v>
      </c>
      <c r="B62" s="2">
        <v>88.650001525878906</v>
      </c>
      <c r="C62" s="2">
        <v>1021.79998779296</v>
      </c>
      <c r="D62" s="2">
        <v>3225.80004882812</v>
      </c>
      <c r="E62" s="2">
        <v>76.832565307617102</v>
      </c>
      <c r="F62" s="2">
        <v>406.89999389648398</v>
      </c>
      <c r="G62" s="2">
        <v>2437.05004882812</v>
      </c>
      <c r="H62" s="2">
        <v>23.384374618530199</v>
      </c>
      <c r="I62" s="2">
        <v>3231.69995117187</v>
      </c>
      <c r="J62" s="2">
        <v>54.819999694824197</v>
      </c>
      <c r="K62" s="2">
        <v>215.600006103515</v>
      </c>
      <c r="L62" s="2">
        <v>121.23999786376901</v>
      </c>
      <c r="M62" s="2">
        <v>5741.9501953125</v>
      </c>
      <c r="N62" s="2">
        <v>946.95001220703102</v>
      </c>
      <c r="O62" s="2">
        <v>92.800003051757798</v>
      </c>
      <c r="P62" s="2">
        <v>170.42500305175699</v>
      </c>
      <c r="Q62" s="2">
        <v>368.04998779296801</v>
      </c>
      <c r="R62" s="2">
        <v>245.94000244140599</v>
      </c>
      <c r="S62" s="2">
        <v>22.75</v>
      </c>
      <c r="T62" s="2">
        <v>248.30000305175699</v>
      </c>
      <c r="U62" s="2">
        <v>73.150001525878906</v>
      </c>
      <c r="V62" s="2">
        <v>857.09997558593705</v>
      </c>
      <c r="W62" s="2">
        <v>385.70001220703102</v>
      </c>
      <c r="X62" s="2">
        <v>426.70001220703102</v>
      </c>
      <c r="Y62" s="2">
        <v>1573.94995117187</v>
      </c>
      <c r="Z62" s="2">
        <v>1533.80004882812</v>
      </c>
      <c r="AA62" s="2">
        <v>730.59997558593705</v>
      </c>
      <c r="AB62" s="2">
        <v>685.79998779296795</v>
      </c>
      <c r="AC62" s="2">
        <v>154.66499328613199</v>
      </c>
      <c r="AD62" s="2">
        <v>95.199996948242102</v>
      </c>
      <c r="AE62" s="2">
        <v>1196.09997558593</v>
      </c>
      <c r="AG62" s="2">
        <v>16858.599609375</v>
      </c>
      <c r="AH62" s="2">
        <v>56598.28125</v>
      </c>
      <c r="AI62" s="2">
        <v>27870.640625</v>
      </c>
    </row>
    <row r="63" spans="1:35" x14ac:dyDescent="0.3">
      <c r="A63" s="1">
        <v>44833</v>
      </c>
      <c r="B63" s="2">
        <v>88.5</v>
      </c>
      <c r="C63" s="2">
        <v>1017.84997558593</v>
      </c>
      <c r="D63" s="2">
        <v>3218.10009765625</v>
      </c>
      <c r="E63" s="2">
        <v>76.632568359375</v>
      </c>
      <c r="F63" s="2">
        <v>410.95001220703102</v>
      </c>
      <c r="G63" s="2">
        <v>2496.64990234375</v>
      </c>
      <c r="H63" s="2">
        <v>23.331249237060501</v>
      </c>
      <c r="I63" s="2">
        <v>3512.39990234375</v>
      </c>
      <c r="J63" s="2">
        <v>55</v>
      </c>
      <c r="K63" s="2">
        <v>214.850006103515</v>
      </c>
      <c r="L63" s="2">
        <v>120.889999389648</v>
      </c>
      <c r="M63" s="2">
        <v>5773.35009765625</v>
      </c>
      <c r="N63" s="2">
        <v>955.95001220703102</v>
      </c>
      <c r="O63" s="2">
        <v>93.099998474121094</v>
      </c>
      <c r="P63" s="2">
        <v>170.125</v>
      </c>
      <c r="Q63" s="2">
        <v>386.45001220703102</v>
      </c>
      <c r="R63" s="2">
        <v>255.82000732421801</v>
      </c>
      <c r="S63" s="2">
        <v>22.549999237060501</v>
      </c>
      <c r="T63" s="2">
        <v>248.02499389648401</v>
      </c>
      <c r="U63" s="2">
        <v>74.074996948242102</v>
      </c>
      <c r="V63" s="2">
        <v>855.20001220703102</v>
      </c>
      <c r="W63" s="2">
        <v>377.67498779296801</v>
      </c>
      <c r="X63" s="2">
        <v>458.79998779296801</v>
      </c>
      <c r="Y63" s="2">
        <v>1571.25</v>
      </c>
      <c r="Z63" s="2">
        <v>1531.5</v>
      </c>
      <c r="AA63" s="2">
        <v>778.70001220703102</v>
      </c>
      <c r="AB63" s="2">
        <v>702.34997558593705</v>
      </c>
      <c r="AC63" s="2">
        <v>155.57499694824199</v>
      </c>
      <c r="AD63" s="2">
        <v>96.849998474121094</v>
      </c>
      <c r="AE63" s="2">
        <v>1206.40002441406</v>
      </c>
      <c r="AG63" s="2">
        <v>16818.099609375</v>
      </c>
      <c r="AH63" s="2">
        <v>56409.9609375</v>
      </c>
      <c r="AI63" s="2">
        <v>28047.109375</v>
      </c>
    </row>
    <row r="64" spans="1:35" x14ac:dyDescent="0.3">
      <c r="A64" s="1">
        <v>44834</v>
      </c>
      <c r="B64" s="2">
        <v>90.400001525878906</v>
      </c>
      <c r="C64" s="2">
        <v>1036.44995117187</v>
      </c>
      <c r="D64" s="2">
        <v>3171.05004882812</v>
      </c>
      <c r="E64" s="2">
        <v>77.632553100585895</v>
      </c>
      <c r="F64" s="2">
        <v>418.29998779296801</v>
      </c>
      <c r="G64" s="2">
        <v>2524.14990234375</v>
      </c>
      <c r="H64" s="2">
        <v>23.503124237060501</v>
      </c>
      <c r="I64" s="2">
        <v>3639.44995117187</v>
      </c>
      <c r="J64" s="2">
        <v>55.630001068115199</v>
      </c>
      <c r="K64" s="2">
        <v>216.80000305175699</v>
      </c>
      <c r="L64" s="2">
        <v>126.809997558593</v>
      </c>
      <c r="M64" s="2">
        <v>5750.5498046875</v>
      </c>
      <c r="N64" s="2">
        <v>969.15002441406205</v>
      </c>
      <c r="O64" s="2">
        <v>93</v>
      </c>
      <c r="P64" s="2">
        <v>176.975006103515</v>
      </c>
      <c r="Q64" s="2">
        <v>375.29998779296801</v>
      </c>
      <c r="R64" s="2">
        <v>253.21000671386699</v>
      </c>
      <c r="S64" s="2">
        <v>22.799999237060501</v>
      </c>
      <c r="T64" s="2">
        <v>257.75</v>
      </c>
      <c r="U64" s="2">
        <v>72.855003356933594</v>
      </c>
      <c r="V64" s="2">
        <v>872.29998779296795</v>
      </c>
      <c r="W64" s="2">
        <v>380.52499389648398</v>
      </c>
      <c r="X64" s="2">
        <v>449.89999389648398</v>
      </c>
      <c r="Y64" s="2">
        <v>1594</v>
      </c>
      <c r="Z64" s="2">
        <v>1546.94995117187</v>
      </c>
      <c r="AA64" s="2">
        <v>841.54998779296795</v>
      </c>
      <c r="AB64" s="2">
        <v>699.5</v>
      </c>
      <c r="AC64" s="2">
        <v>154.74499511718699</v>
      </c>
      <c r="AD64" s="2">
        <v>99.300003051757798</v>
      </c>
      <c r="AE64" s="2">
        <v>1227.84997558593</v>
      </c>
      <c r="AG64" s="2">
        <v>17094.349609375</v>
      </c>
      <c r="AH64" s="2">
        <v>57426.921875</v>
      </c>
      <c r="AI64" s="2">
        <v>28452.91015625</v>
      </c>
    </row>
    <row r="65" spans="1:35" x14ac:dyDescent="0.3">
      <c r="A65" s="1">
        <v>44837</v>
      </c>
      <c r="B65" s="2">
        <v>91.400001525878906</v>
      </c>
      <c r="C65" s="2">
        <v>1063.25</v>
      </c>
      <c r="D65" s="2">
        <v>3121.5</v>
      </c>
      <c r="E65" s="2">
        <v>76.965896606445298</v>
      </c>
      <c r="F65" s="2">
        <v>413.79998779296801</v>
      </c>
      <c r="G65" s="2">
        <v>2474.85009765625</v>
      </c>
      <c r="H65" s="2">
        <v>23.940624237060501</v>
      </c>
      <c r="I65" s="2">
        <v>3690.64990234375</v>
      </c>
      <c r="J65" s="2">
        <v>54.919998168945298</v>
      </c>
      <c r="K65" s="2">
        <v>217.39999389648401</v>
      </c>
      <c r="L65" s="2">
        <v>124.309997558593</v>
      </c>
      <c r="M65" s="2">
        <v>5790.35009765625</v>
      </c>
      <c r="N65" s="2">
        <v>948.04998779296795</v>
      </c>
      <c r="O65" s="2">
        <v>91.650001525878906</v>
      </c>
      <c r="P65" s="2">
        <v>168.67500305175699</v>
      </c>
      <c r="Q65" s="2">
        <v>356.54998779296801</v>
      </c>
      <c r="R65" s="2">
        <v>256.29000854492102</v>
      </c>
      <c r="S65" s="2">
        <v>22.899999618530199</v>
      </c>
      <c r="T65" s="2">
        <v>252.89999389648401</v>
      </c>
      <c r="U65" s="2">
        <v>76.684997558593693</v>
      </c>
      <c r="V65" s="2">
        <v>858.59997558593705</v>
      </c>
      <c r="W65" s="2">
        <v>380.100006103515</v>
      </c>
      <c r="X65" s="2">
        <v>442.89999389648398</v>
      </c>
      <c r="Y65" s="2">
        <v>1592</v>
      </c>
      <c r="Z65" s="2">
        <v>1538</v>
      </c>
      <c r="AA65" s="2">
        <v>808.90002441406205</v>
      </c>
      <c r="AB65" s="2">
        <v>686</v>
      </c>
      <c r="AC65" s="2">
        <v>152.77000427246</v>
      </c>
      <c r="AD65" s="2">
        <v>98.349998474121094</v>
      </c>
      <c r="AE65" s="2">
        <v>1222.65002441406</v>
      </c>
      <c r="AG65" s="2">
        <v>16887.349609375</v>
      </c>
      <c r="AH65" s="2">
        <v>56788.80859375</v>
      </c>
      <c r="AI65" s="2">
        <v>28300.220703125</v>
      </c>
    </row>
    <row r="66" spans="1:35" x14ac:dyDescent="0.3">
      <c r="A66" s="1">
        <v>44838</v>
      </c>
      <c r="B66" s="2">
        <v>91.650001525878906</v>
      </c>
      <c r="C66" s="2">
        <v>1097.05004882812</v>
      </c>
      <c r="D66" s="2">
        <v>3180.55004882812</v>
      </c>
      <c r="E66" s="2">
        <v>79.065872192382798</v>
      </c>
      <c r="F66" s="2">
        <v>414.95001220703102</v>
      </c>
      <c r="G66" s="2">
        <v>2479.64990234375</v>
      </c>
      <c r="H66" s="2">
        <v>25.503124237060501</v>
      </c>
      <c r="I66" s="2">
        <v>3642</v>
      </c>
      <c r="J66" s="2">
        <v>55.009998321533203</v>
      </c>
      <c r="K66" s="2">
        <v>220.350006103515</v>
      </c>
      <c r="L66" s="2">
        <v>123.540000915527</v>
      </c>
      <c r="M66" s="2">
        <v>5831.4501953125</v>
      </c>
      <c r="N66" s="2">
        <v>965.29998779296795</v>
      </c>
      <c r="O66" s="2">
        <v>92.900001525878906</v>
      </c>
      <c r="P66" s="2">
        <v>178.05000305175699</v>
      </c>
      <c r="Q66" s="2">
        <v>343.75</v>
      </c>
      <c r="R66" s="2">
        <v>261</v>
      </c>
      <c r="S66" s="2">
        <v>22.899999618530199</v>
      </c>
      <c r="T66" s="2">
        <v>250.475006103515</v>
      </c>
      <c r="U66" s="2">
        <v>85.870002746582003</v>
      </c>
      <c r="V66" s="2">
        <v>866.20001220703102</v>
      </c>
      <c r="W66" s="2">
        <v>382.79998779296801</v>
      </c>
      <c r="X66" s="2">
        <v>431.95001220703102</v>
      </c>
      <c r="Y66" s="2">
        <v>1603.69995117187</v>
      </c>
      <c r="Z66" s="2">
        <v>1552.5</v>
      </c>
      <c r="AA66" s="2">
        <v>842.09997558593705</v>
      </c>
      <c r="AB66" s="2">
        <v>693.45001220703102</v>
      </c>
      <c r="AC66" s="2">
        <v>154.91000366210901</v>
      </c>
      <c r="AD66" s="2">
        <v>101.150001525878</v>
      </c>
      <c r="AE66" s="2">
        <v>1214.40002441406</v>
      </c>
      <c r="AG66" s="2">
        <v>17274.30078125</v>
      </c>
      <c r="AH66" s="2">
        <v>58065.46875</v>
      </c>
      <c r="AI66" s="2">
        <v>28723.01953125</v>
      </c>
    </row>
    <row r="67" spans="1:35" x14ac:dyDescent="0.3">
      <c r="A67" s="1">
        <v>44840</v>
      </c>
      <c r="B67" s="2">
        <v>92.099998474121094</v>
      </c>
      <c r="C67" s="2">
        <v>1136.55004882812</v>
      </c>
      <c r="D67" s="2">
        <v>3231.14990234375</v>
      </c>
      <c r="E67" s="2">
        <v>81.765846252441406</v>
      </c>
      <c r="F67" s="2">
        <v>408.79998779296801</v>
      </c>
      <c r="G67" s="2">
        <v>2486.10009765625</v>
      </c>
      <c r="H67" s="2">
        <v>25.109375</v>
      </c>
      <c r="I67" s="2">
        <v>3556.10009765625</v>
      </c>
      <c r="J67" s="2">
        <v>55.2299995422363</v>
      </c>
      <c r="K67" s="2">
        <v>219.30000305175699</v>
      </c>
      <c r="L67" s="2">
        <v>126.06999969482401</v>
      </c>
      <c r="M67" s="2">
        <v>5835.7001953125</v>
      </c>
      <c r="N67" s="2">
        <v>981.09997558593705</v>
      </c>
      <c r="O67" s="2">
        <v>96.25</v>
      </c>
      <c r="P67" s="2">
        <v>182.52499389648401</v>
      </c>
      <c r="Q67" s="2">
        <v>352.70001220703102</v>
      </c>
      <c r="R67" s="2">
        <v>257.91000366210898</v>
      </c>
      <c r="S67" s="2">
        <v>23.25</v>
      </c>
      <c r="T67" s="2">
        <v>256.600006103515</v>
      </c>
      <c r="U67" s="2">
        <v>85.180000305175696</v>
      </c>
      <c r="V67" s="2">
        <v>875.20001220703102</v>
      </c>
      <c r="W67" s="2">
        <v>384.92498779296801</v>
      </c>
      <c r="X67" s="2">
        <v>425.39999389648398</v>
      </c>
      <c r="Y67" s="2">
        <v>1630.15002441406</v>
      </c>
      <c r="Z67" s="2">
        <v>1567.30004882812</v>
      </c>
      <c r="AA67" s="2">
        <v>873.95001220703102</v>
      </c>
      <c r="AB67" s="2">
        <v>701.5</v>
      </c>
      <c r="AC67" s="2">
        <v>152.23500061035099</v>
      </c>
      <c r="AD67" s="2">
        <v>103.550003051757</v>
      </c>
      <c r="AE67" s="2">
        <v>1207.15002441406</v>
      </c>
      <c r="AG67" s="2">
        <v>17331.80078125</v>
      </c>
      <c r="AH67" s="2">
        <v>58222.1015625</v>
      </c>
      <c r="AI67" s="2">
        <v>29096.16015625</v>
      </c>
    </row>
    <row r="68" spans="1:35" x14ac:dyDescent="0.3">
      <c r="A68" s="1">
        <v>44841</v>
      </c>
      <c r="B68" s="2">
        <v>93</v>
      </c>
      <c r="C68" s="2">
        <v>1147.19995117187</v>
      </c>
      <c r="D68" s="2">
        <v>3221.94995117187</v>
      </c>
      <c r="E68" s="2">
        <v>80.932525634765597</v>
      </c>
      <c r="F68" s="2">
        <v>410.20001220703102</v>
      </c>
      <c r="G68" s="2">
        <v>2466.85009765625</v>
      </c>
      <c r="H68" s="2">
        <v>25.1375007629394</v>
      </c>
      <c r="I68" s="2">
        <v>3501.94995117187</v>
      </c>
      <c r="J68" s="2">
        <v>55.099998474121001</v>
      </c>
      <c r="K68" s="2">
        <v>222.600006103515</v>
      </c>
      <c r="L68" s="2">
        <v>125.540000915527</v>
      </c>
      <c r="M68" s="2">
        <v>5834.5</v>
      </c>
      <c r="N68" s="2">
        <v>992.34997558593705</v>
      </c>
      <c r="O68" s="2">
        <v>97.099998474121094</v>
      </c>
      <c r="P68" s="2">
        <v>182.350006103515</v>
      </c>
      <c r="Q68" s="2">
        <v>348.70001220703102</v>
      </c>
      <c r="R68" s="2">
        <v>259.57000732421801</v>
      </c>
      <c r="S68" s="2">
        <v>23.4500007629394</v>
      </c>
      <c r="T68" s="2">
        <v>257.82501220703102</v>
      </c>
      <c r="U68" s="2">
        <v>85.489997863769503</v>
      </c>
      <c r="V68" s="2">
        <v>880.70001220703102</v>
      </c>
      <c r="W68" s="2">
        <v>384.32501220703102</v>
      </c>
      <c r="X68" s="2">
        <v>424.100006103515</v>
      </c>
      <c r="Y68" s="2">
        <v>1612.55004882812</v>
      </c>
      <c r="Z68" s="2">
        <v>1634.75</v>
      </c>
      <c r="AA68" s="2">
        <v>864.75</v>
      </c>
      <c r="AB68" s="2">
        <v>690.90002441406205</v>
      </c>
      <c r="AC68" s="2">
        <v>153.61500549316401</v>
      </c>
      <c r="AD68" s="2">
        <v>103.300003051757</v>
      </c>
      <c r="AE68" s="2">
        <v>1216.55004882812</v>
      </c>
      <c r="AG68" s="2">
        <v>17314.650390625</v>
      </c>
      <c r="AH68" s="2">
        <v>58191.2890625</v>
      </c>
      <c r="AI68" s="2">
        <v>29182.9296875</v>
      </c>
    </row>
    <row r="69" spans="1:35" x14ac:dyDescent="0.3">
      <c r="A69" s="1">
        <v>44844</v>
      </c>
      <c r="B69" s="2">
        <v>91.75</v>
      </c>
      <c r="C69" s="2">
        <v>1125.55004882812</v>
      </c>
      <c r="D69" s="2">
        <v>3155.75</v>
      </c>
      <c r="E69" s="2">
        <v>80.065864562988196</v>
      </c>
      <c r="F69" s="2">
        <v>410.45001220703102</v>
      </c>
      <c r="G69" s="2">
        <v>2535.55004882812</v>
      </c>
      <c r="H69" s="2">
        <v>25.4187507629394</v>
      </c>
      <c r="I69" s="2">
        <v>3462.10009765625</v>
      </c>
      <c r="J69" s="2">
        <v>55.520000457763601</v>
      </c>
      <c r="K69" s="2">
        <v>221.350006103515</v>
      </c>
      <c r="L69" s="2">
        <v>137.44999694824199</v>
      </c>
      <c r="M69" s="2">
        <v>5800.35009765625</v>
      </c>
      <c r="N69" s="2">
        <v>985.45001220703102</v>
      </c>
      <c r="O69" s="2">
        <v>94.5</v>
      </c>
      <c r="P69" s="2">
        <v>179.350006103515</v>
      </c>
      <c r="Q69" s="2">
        <v>336.75</v>
      </c>
      <c r="R69" s="2">
        <v>256.989990234375</v>
      </c>
      <c r="S69" s="2">
        <v>22.799999237060501</v>
      </c>
      <c r="T69" s="2">
        <v>258.54998779296801</v>
      </c>
      <c r="U69" s="2">
        <v>85.404998779296804</v>
      </c>
      <c r="V69" s="2">
        <v>863.34997558593705</v>
      </c>
      <c r="W69" s="2">
        <v>388.625</v>
      </c>
      <c r="X69" s="2">
        <v>419.95001220703102</v>
      </c>
      <c r="Y69" s="2">
        <v>1698.94995117187</v>
      </c>
      <c r="Z69" s="2">
        <v>1588.84997558593</v>
      </c>
      <c r="AA69" s="2">
        <v>865</v>
      </c>
      <c r="AB69" s="2">
        <v>686.40002441406205</v>
      </c>
      <c r="AC69" s="2">
        <v>152.03999328613199</v>
      </c>
      <c r="AD69" s="2">
        <v>103.199996948242</v>
      </c>
      <c r="AE69" s="2">
        <v>1221.59997558593</v>
      </c>
      <c r="AG69" s="2">
        <v>17241</v>
      </c>
      <c r="AH69" s="2">
        <v>57991.109375</v>
      </c>
      <c r="AI69" s="2">
        <v>29014.41015625</v>
      </c>
    </row>
    <row r="70" spans="1:35" x14ac:dyDescent="0.3">
      <c r="A70" s="1">
        <v>44845</v>
      </c>
      <c r="B70" s="2">
        <v>90.5</v>
      </c>
      <c r="C70" s="2">
        <v>1092.75</v>
      </c>
      <c r="D70" s="2">
        <v>3118.35009765625</v>
      </c>
      <c r="E70" s="2">
        <v>77.69921875</v>
      </c>
      <c r="F70" s="2">
        <v>408.64999389648398</v>
      </c>
      <c r="G70" s="2">
        <v>2552.5</v>
      </c>
      <c r="H70" s="2">
        <v>24.756250381469702</v>
      </c>
      <c r="I70" s="2">
        <v>3499.05004882812</v>
      </c>
      <c r="J70" s="2">
        <v>54.069999694824197</v>
      </c>
      <c r="K70" s="2">
        <v>214.850006103515</v>
      </c>
      <c r="L70" s="2">
        <v>132.32000732421801</v>
      </c>
      <c r="M70" s="2">
        <v>5780.85009765625</v>
      </c>
      <c r="N70" s="2">
        <v>957.95001220703102</v>
      </c>
      <c r="O70" s="2">
        <v>93.599998474121094</v>
      </c>
      <c r="P70" s="2">
        <v>168.14999389648401</v>
      </c>
      <c r="Q70" s="2">
        <v>334.29998779296801</v>
      </c>
      <c r="R70" s="2">
        <v>248.82000732421801</v>
      </c>
      <c r="S70" s="2">
        <v>22.549999237060501</v>
      </c>
      <c r="T70" s="2">
        <v>256.14999389648398</v>
      </c>
      <c r="U70" s="2">
        <v>86.375</v>
      </c>
      <c r="V70" s="2">
        <v>867.45001220703102</v>
      </c>
      <c r="W70" s="2">
        <v>382.725006103515</v>
      </c>
      <c r="X70" s="2">
        <v>416.79998779296801</v>
      </c>
      <c r="Y70" s="2">
        <v>1664.59997558593</v>
      </c>
      <c r="Z70" s="2">
        <v>1563.55004882812</v>
      </c>
      <c r="AA70" s="2">
        <v>860.84997558593705</v>
      </c>
      <c r="AB70" s="2">
        <v>685.79998779296795</v>
      </c>
      <c r="AC70" s="2">
        <v>149.77499389648401</v>
      </c>
      <c r="AD70" s="2">
        <v>100.34999847412099</v>
      </c>
      <c r="AE70" s="2">
        <v>1225.25</v>
      </c>
      <c r="AG70" s="2">
        <v>16983.55078125</v>
      </c>
      <c r="AH70" s="2">
        <v>57147.3203125</v>
      </c>
      <c r="AI70" s="2">
        <v>28589.23046875</v>
      </c>
    </row>
    <row r="71" spans="1:35" x14ac:dyDescent="0.3">
      <c r="A71" s="1">
        <v>44846</v>
      </c>
      <c r="B71" s="2">
        <v>90.050003051757798</v>
      </c>
      <c r="C71" s="2">
        <v>1098.80004882812</v>
      </c>
      <c r="D71" s="2">
        <v>3057.14990234375</v>
      </c>
      <c r="E71" s="2">
        <v>77.899223327636705</v>
      </c>
      <c r="F71" s="2">
        <v>401.600006103515</v>
      </c>
      <c r="G71" s="2">
        <v>2565.19995117187</v>
      </c>
      <c r="H71" s="2">
        <v>24.603124618530199</v>
      </c>
      <c r="I71" s="2">
        <v>3458.85009765625</v>
      </c>
      <c r="J71" s="2">
        <v>54.110000610351499</v>
      </c>
      <c r="K71" s="2">
        <v>216.75</v>
      </c>
      <c r="L71" s="2">
        <v>130.83999633789</v>
      </c>
      <c r="M71" s="2">
        <v>5782.9501953125</v>
      </c>
      <c r="N71" s="2">
        <v>947.15002441406205</v>
      </c>
      <c r="O71" s="2">
        <v>92.650001525878906</v>
      </c>
      <c r="P71" s="2">
        <v>172.475006103515</v>
      </c>
      <c r="Q71" s="2">
        <v>338.25</v>
      </c>
      <c r="R71" s="2">
        <v>251.47000122070301</v>
      </c>
      <c r="S71" s="2">
        <v>22.75</v>
      </c>
      <c r="T71" s="2">
        <v>257.375</v>
      </c>
      <c r="U71" s="2">
        <v>84.769996643066406</v>
      </c>
      <c r="V71" s="2">
        <v>856.90002441406205</v>
      </c>
      <c r="W71" s="2">
        <v>382.32501220703102</v>
      </c>
      <c r="X71" s="2">
        <v>412.64999389648398</v>
      </c>
      <c r="Y71" s="2">
        <v>1654</v>
      </c>
      <c r="Z71" s="2">
        <v>1568.59997558593</v>
      </c>
      <c r="AA71" s="2">
        <v>864.29998779296795</v>
      </c>
      <c r="AB71" s="2">
        <v>681.40002441406205</v>
      </c>
      <c r="AC71" s="2">
        <v>157.14999389648401</v>
      </c>
      <c r="AD71" s="2">
        <v>100.550003051757</v>
      </c>
      <c r="AE71" s="2">
        <v>1199.75</v>
      </c>
      <c r="AG71" s="2">
        <v>17123.599609375</v>
      </c>
      <c r="AH71" s="2">
        <v>57625.91015625</v>
      </c>
      <c r="AI71" s="2">
        <v>28650.73046875</v>
      </c>
    </row>
    <row r="72" spans="1:35" x14ac:dyDescent="0.3">
      <c r="A72" s="1">
        <v>44847</v>
      </c>
      <c r="B72" s="2">
        <v>89.75</v>
      </c>
      <c r="C72" s="2">
        <v>1089.09997558593</v>
      </c>
      <c r="D72" s="2">
        <v>3031.85009765625</v>
      </c>
      <c r="E72" s="2">
        <v>77.399223327636705</v>
      </c>
      <c r="F72" s="2">
        <v>400.70001220703102</v>
      </c>
      <c r="G72" s="2">
        <v>2596.14990234375</v>
      </c>
      <c r="H72" s="2">
        <v>24.271875381469702</v>
      </c>
      <c r="I72" s="2">
        <v>3425.30004882812</v>
      </c>
      <c r="J72" s="2">
        <v>53.299999237060497</v>
      </c>
      <c r="K72" s="2">
        <v>215.94999694824199</v>
      </c>
      <c r="L72" s="2">
        <v>138.52999877929599</v>
      </c>
      <c r="M72" s="2">
        <v>5750.10009765625</v>
      </c>
      <c r="N72" s="2">
        <v>943.70001220703102</v>
      </c>
      <c r="O72" s="2">
        <v>92.800003051757798</v>
      </c>
      <c r="P72" s="2">
        <v>170.80000305175699</v>
      </c>
      <c r="Q72" s="2">
        <v>335</v>
      </c>
      <c r="R72" s="2">
        <v>249.02999877929599</v>
      </c>
      <c r="S72" s="2">
        <v>22.399999618530199</v>
      </c>
      <c r="T72" s="2">
        <v>254.80000305175699</v>
      </c>
      <c r="U72" s="2">
        <v>83.510002136230398</v>
      </c>
      <c r="V72" s="2">
        <v>849.34997558593705</v>
      </c>
      <c r="W72" s="2">
        <v>375.975006103515</v>
      </c>
      <c r="X72" s="2">
        <v>406.89999389648398</v>
      </c>
      <c r="Y72" s="2">
        <v>1632.59997558593</v>
      </c>
      <c r="Z72" s="2">
        <v>1563.84997558593</v>
      </c>
      <c r="AA72" s="2">
        <v>859.90002441406205</v>
      </c>
      <c r="AB72" s="2">
        <v>673.45001220703102</v>
      </c>
      <c r="AC72" s="2">
        <v>154.48500061035099</v>
      </c>
      <c r="AD72" s="2">
        <v>100.09999847412099</v>
      </c>
      <c r="AE72" s="2">
        <v>1142.84997558593</v>
      </c>
      <c r="AG72" s="2">
        <v>17014.349609375</v>
      </c>
      <c r="AH72" s="2">
        <v>57235.328125</v>
      </c>
      <c r="AI72" s="2">
        <v>28520.55078125</v>
      </c>
    </row>
    <row r="73" spans="1:35" x14ac:dyDescent="0.3">
      <c r="A73" s="1">
        <v>44848</v>
      </c>
      <c r="B73" s="2">
        <v>89.949996948242102</v>
      </c>
      <c r="C73" s="2">
        <v>1118.55004882812</v>
      </c>
      <c r="D73" s="2">
        <v>3040.14990234375</v>
      </c>
      <c r="E73" s="2">
        <v>77.232559204101506</v>
      </c>
      <c r="F73" s="2">
        <v>398.350006103515</v>
      </c>
      <c r="G73" s="2">
        <v>2575</v>
      </c>
      <c r="H73" s="2">
        <v>24.28125</v>
      </c>
      <c r="I73" s="2">
        <v>3355.80004882812</v>
      </c>
      <c r="J73" s="2">
        <v>52.580001831054602</v>
      </c>
      <c r="K73" s="2">
        <v>213.19999694824199</v>
      </c>
      <c r="L73" s="2">
        <v>141.33999633789</v>
      </c>
      <c r="M73" s="2">
        <v>5750.5</v>
      </c>
      <c r="N73" s="2">
        <v>952.5</v>
      </c>
      <c r="O73" s="2">
        <v>92.400001525878906</v>
      </c>
      <c r="P73" s="2">
        <v>174.30000305175699</v>
      </c>
      <c r="Q73" s="2">
        <v>334.20001220703102</v>
      </c>
      <c r="R73" s="2">
        <v>252.419998168945</v>
      </c>
      <c r="S73" s="2">
        <v>22.299999237060501</v>
      </c>
      <c r="T73" s="2">
        <v>252.225006103515</v>
      </c>
      <c r="U73" s="2">
        <v>84.879997253417898</v>
      </c>
      <c r="V73" s="2">
        <v>850.5</v>
      </c>
      <c r="W73" s="2">
        <v>377.100006103515</v>
      </c>
      <c r="X73" s="2">
        <v>407.70001220703102</v>
      </c>
      <c r="Y73" s="2">
        <v>1627.5</v>
      </c>
      <c r="Z73" s="2">
        <v>1572.69995117187</v>
      </c>
      <c r="AA73" s="2">
        <v>868.59997558593705</v>
      </c>
      <c r="AB73" s="2">
        <v>674.29998779296795</v>
      </c>
      <c r="AC73" s="2">
        <v>153.63000488281199</v>
      </c>
      <c r="AD73" s="2">
        <v>100.09999847412099</v>
      </c>
      <c r="AE73" s="2">
        <v>1085.34997558593</v>
      </c>
      <c r="AG73" s="2">
        <v>17185.69921875</v>
      </c>
      <c r="AH73" s="2">
        <v>57919.96875</v>
      </c>
      <c r="AI73" s="2">
        <v>28522.849609375</v>
      </c>
    </row>
    <row r="74" spans="1:35" x14ac:dyDescent="0.3">
      <c r="A74" s="1">
        <v>44851</v>
      </c>
      <c r="B74" s="2">
        <v>90.449996948242102</v>
      </c>
      <c r="C74" s="2">
        <v>1118.59997558593</v>
      </c>
      <c r="D74" s="2">
        <v>3022.85009765625</v>
      </c>
      <c r="E74" s="2">
        <v>73.165931701660099</v>
      </c>
      <c r="F74" s="2">
        <v>395.600006103515</v>
      </c>
      <c r="G74" s="2">
        <v>2596.5</v>
      </c>
      <c r="H74" s="2">
        <v>24.8406257629394</v>
      </c>
      <c r="I74" s="2">
        <v>3497.35009765625</v>
      </c>
      <c r="J74" s="2">
        <v>52.950000762939403</v>
      </c>
      <c r="K74" s="2">
        <v>212.55000305175699</v>
      </c>
      <c r="L74" s="2">
        <v>139.36000061035099</v>
      </c>
      <c r="M74" s="2">
        <v>5795.4501953125</v>
      </c>
      <c r="N74" s="2">
        <v>951.09997558593705</v>
      </c>
      <c r="O74" s="2">
        <v>92.349998474121094</v>
      </c>
      <c r="P74" s="2">
        <v>173.100006103515</v>
      </c>
      <c r="Q74" s="2">
        <v>324.20001220703102</v>
      </c>
      <c r="R74" s="2">
        <v>250.89999389648401</v>
      </c>
      <c r="S74" s="2">
        <v>21.899999618530199</v>
      </c>
      <c r="T74" s="2">
        <v>252.125</v>
      </c>
      <c r="U74" s="2">
        <v>83.985000610351506</v>
      </c>
      <c r="V74" s="2">
        <v>842.90002441406205</v>
      </c>
      <c r="W74" s="2">
        <v>369.20001220703102</v>
      </c>
      <c r="X74" s="2">
        <v>393.64999389648398</v>
      </c>
      <c r="Y74" s="2">
        <v>1616.55004882812</v>
      </c>
      <c r="Z74" s="2">
        <v>1540.05004882812</v>
      </c>
      <c r="AA74" s="2">
        <v>867.29998779296795</v>
      </c>
      <c r="AB74" s="2">
        <v>661.34997558593705</v>
      </c>
      <c r="AC74" s="2">
        <v>157.31500244140599</v>
      </c>
      <c r="AD74" s="2">
        <v>99.550003051757798</v>
      </c>
      <c r="AE74" s="2">
        <v>1053.80004882812</v>
      </c>
      <c r="AG74" s="2">
        <v>17311.80078125</v>
      </c>
      <c r="AH74" s="2">
        <v>58410.98046875</v>
      </c>
      <c r="AI74" s="2">
        <v>28548.080078125</v>
      </c>
    </row>
    <row r="75" spans="1:35" x14ac:dyDescent="0.3">
      <c r="A75" s="1">
        <v>44852</v>
      </c>
      <c r="B75" s="2">
        <v>90.699996948242102</v>
      </c>
      <c r="C75" s="2">
        <v>1132.19995117187</v>
      </c>
      <c r="D75" s="2">
        <v>3041.10009765625</v>
      </c>
      <c r="E75" s="2">
        <v>72.865936279296804</v>
      </c>
      <c r="F75" s="2">
        <v>401.20001220703102</v>
      </c>
      <c r="G75" s="2">
        <v>2594.94995117187</v>
      </c>
      <c r="H75" s="2">
        <v>25.015625</v>
      </c>
      <c r="I75" s="2">
        <v>3509.30004882812</v>
      </c>
      <c r="J75" s="2">
        <v>52.580001831054602</v>
      </c>
      <c r="K75" s="2">
        <v>210.69999694824199</v>
      </c>
      <c r="L75" s="2">
        <v>141.82000732421801</v>
      </c>
      <c r="M75" s="2">
        <v>5775.2998046875</v>
      </c>
      <c r="N75" s="2">
        <v>963.25</v>
      </c>
      <c r="O75" s="2">
        <v>92.800003051757798</v>
      </c>
      <c r="P75" s="2">
        <v>175.80000305175699</v>
      </c>
      <c r="Q75" s="2">
        <v>327.20001220703102</v>
      </c>
      <c r="R75" s="2">
        <v>254.669998168945</v>
      </c>
      <c r="S75" s="2">
        <v>21.9500007629394</v>
      </c>
      <c r="T75" s="2">
        <v>250.850006103515</v>
      </c>
      <c r="U75" s="2">
        <v>83.824996948242102</v>
      </c>
      <c r="V75" s="2">
        <v>841.75</v>
      </c>
      <c r="W75" s="2">
        <v>367.975006103515</v>
      </c>
      <c r="X75" s="2">
        <v>410.39999389648398</v>
      </c>
      <c r="Y75" s="2">
        <v>1617.15002441406</v>
      </c>
      <c r="Z75" s="2">
        <v>1626.05004882812</v>
      </c>
      <c r="AA75" s="2">
        <v>933.34997558593705</v>
      </c>
      <c r="AB75" s="2">
        <v>645.90002441406205</v>
      </c>
      <c r="AC75" s="2">
        <v>156.509994506835</v>
      </c>
      <c r="AD75" s="2">
        <v>100.650001525878</v>
      </c>
      <c r="AE75" s="2">
        <v>1049.59997558593</v>
      </c>
      <c r="AG75" s="2">
        <v>17486.94921875</v>
      </c>
      <c r="AH75" s="2">
        <v>58960.6015625</v>
      </c>
      <c r="AI75" s="2">
        <v>28750.599609375</v>
      </c>
    </row>
    <row r="76" spans="1:35" x14ac:dyDescent="0.3">
      <c r="A76" s="1">
        <v>44853</v>
      </c>
      <c r="B76" s="2">
        <v>89.599998474121094</v>
      </c>
      <c r="C76" s="2">
        <v>1114.19995117187</v>
      </c>
      <c r="D76" s="2">
        <v>3025.05004882812</v>
      </c>
      <c r="E76" s="2">
        <v>72.299278259277301</v>
      </c>
      <c r="F76" s="2">
        <v>396.20001220703102</v>
      </c>
      <c r="G76" s="2">
        <v>2563.19995117187</v>
      </c>
      <c r="H76" s="2">
        <v>25.1062507629394</v>
      </c>
      <c r="I76" s="2">
        <v>3456.19995117187</v>
      </c>
      <c r="J76" s="2">
        <v>54.459999084472599</v>
      </c>
      <c r="K76" s="2">
        <v>208.25</v>
      </c>
      <c r="L76" s="2">
        <v>142.55999755859301</v>
      </c>
      <c r="M76" s="2">
        <v>5754.5</v>
      </c>
      <c r="N76" s="2">
        <v>973.95001220703102</v>
      </c>
      <c r="O76" s="2">
        <v>92.150001525878906</v>
      </c>
      <c r="P76" s="2">
        <v>184.975006103515</v>
      </c>
      <c r="Q76" s="2">
        <v>332.89999389648398</v>
      </c>
      <c r="R76" s="2">
        <v>264.60998535156199</v>
      </c>
      <c r="S76" s="2">
        <v>22.049999237060501</v>
      </c>
      <c r="T76" s="2">
        <v>253.600006103515</v>
      </c>
      <c r="U76" s="2">
        <v>83.084999084472599</v>
      </c>
      <c r="V76" s="2">
        <v>839.29998779296795</v>
      </c>
      <c r="W76" s="2">
        <v>361.17498779296801</v>
      </c>
      <c r="X76" s="2">
        <v>401.64999389648398</v>
      </c>
      <c r="Y76" s="2">
        <v>1619.69995117187</v>
      </c>
      <c r="Z76" s="2">
        <v>1646</v>
      </c>
      <c r="AA76" s="2">
        <v>907.65002441406205</v>
      </c>
      <c r="AB76" s="2">
        <v>652.29998779296795</v>
      </c>
      <c r="AC76" s="2">
        <v>158.55000305175699</v>
      </c>
      <c r="AD76" s="2">
        <v>100.050003051757</v>
      </c>
      <c r="AE76" s="2">
        <v>1070.19995117187</v>
      </c>
      <c r="AG76" s="2">
        <v>17512.25</v>
      </c>
      <c r="AH76" s="2">
        <v>59107.19140625</v>
      </c>
      <c r="AI76" s="2">
        <v>28741.779296875</v>
      </c>
    </row>
    <row r="77" spans="1:35" x14ac:dyDescent="0.3">
      <c r="A77" s="1">
        <v>44854</v>
      </c>
      <c r="B77" s="2">
        <v>90.849998474121094</v>
      </c>
      <c r="C77" s="2">
        <v>1084.15002441406</v>
      </c>
      <c r="D77" s="2">
        <v>3073.69995117187</v>
      </c>
      <c r="E77" s="2">
        <v>72.199279785156193</v>
      </c>
      <c r="F77" s="2">
        <v>391.600006103515</v>
      </c>
      <c r="G77" s="2">
        <v>2620.25</v>
      </c>
      <c r="H77" s="2">
        <v>24.96875</v>
      </c>
      <c r="I77" s="2">
        <v>3446.10009765625</v>
      </c>
      <c r="J77" s="2">
        <v>53.290000915527301</v>
      </c>
      <c r="K77" s="2">
        <v>212.30000305175699</v>
      </c>
      <c r="L77" s="2">
        <v>139.86000061035099</v>
      </c>
      <c r="M77" s="2">
        <v>5753.60009765625</v>
      </c>
      <c r="N77" s="2">
        <v>970.70001220703102</v>
      </c>
      <c r="O77" s="2">
        <v>91.75</v>
      </c>
      <c r="P77" s="2">
        <v>186.225006103515</v>
      </c>
      <c r="Q77" s="2">
        <v>324.89999389648398</v>
      </c>
      <c r="R77" s="2">
        <v>260.72000122070301</v>
      </c>
      <c r="S77" s="2">
        <v>22.049999237060501</v>
      </c>
      <c r="T77" s="2">
        <v>254.600006103515</v>
      </c>
      <c r="U77" s="2">
        <v>80.519996643066406</v>
      </c>
      <c r="V77" s="2">
        <v>841.09997558593705</v>
      </c>
      <c r="W77" s="2">
        <v>356.54998779296801</v>
      </c>
      <c r="X77" s="2">
        <v>410.79998779296801</v>
      </c>
      <c r="Y77" s="2">
        <v>1545.69995117187</v>
      </c>
      <c r="Z77" s="2">
        <v>1580.40002441406</v>
      </c>
      <c r="AA77" s="2">
        <v>892.95001220703102</v>
      </c>
      <c r="AB77" s="2">
        <v>639.95001220703102</v>
      </c>
      <c r="AC77" s="2">
        <v>160.50500488281199</v>
      </c>
      <c r="AD77" s="2">
        <v>100.900001525878</v>
      </c>
      <c r="AE77" s="2">
        <v>1099.90002441406</v>
      </c>
      <c r="AG77" s="2">
        <v>17563.94921875</v>
      </c>
      <c r="AH77" s="2">
        <v>59202.8984375</v>
      </c>
      <c r="AI77" s="2">
        <v>28738.7109375</v>
      </c>
    </row>
    <row r="78" spans="1:35" x14ac:dyDescent="0.3">
      <c r="A78" s="1">
        <v>44855</v>
      </c>
      <c r="B78" s="2">
        <v>90.849998474121094</v>
      </c>
      <c r="C78" s="2">
        <v>1074.09997558593</v>
      </c>
      <c r="D78" s="2">
        <v>3064</v>
      </c>
      <c r="E78" s="2">
        <v>71.4326171875</v>
      </c>
      <c r="F78" s="2">
        <v>390.04998779296801</v>
      </c>
      <c r="G78" s="2">
        <v>2633.60009765625</v>
      </c>
      <c r="H78" s="2">
        <v>24.493749618530199</v>
      </c>
      <c r="I78" s="2">
        <v>3408.14990234375</v>
      </c>
      <c r="J78" s="2">
        <v>52.900001525878899</v>
      </c>
      <c r="K78" s="2">
        <v>209.44999694824199</v>
      </c>
      <c r="L78" s="2">
        <v>142.600006103515</v>
      </c>
      <c r="M78" s="2">
        <v>5750.35009765625</v>
      </c>
      <c r="N78" s="2">
        <v>969</v>
      </c>
      <c r="O78" s="2">
        <v>91.599998474121094</v>
      </c>
      <c r="P78" s="2">
        <v>191</v>
      </c>
      <c r="Q78" s="2">
        <v>331.95001220703102</v>
      </c>
      <c r="R78" s="2">
        <v>263.58999633789</v>
      </c>
      <c r="S78" s="2">
        <v>22.100000381469702</v>
      </c>
      <c r="T78" s="2">
        <v>254.975006103515</v>
      </c>
      <c r="U78" s="2">
        <v>79.254997253417898</v>
      </c>
      <c r="V78" s="2">
        <v>840.29998779296795</v>
      </c>
      <c r="W78" s="2">
        <v>360.25</v>
      </c>
      <c r="X78" s="2">
        <v>405.600006103515</v>
      </c>
      <c r="Y78" s="2">
        <v>1543.65002441406</v>
      </c>
      <c r="Z78" s="2">
        <v>1550.55004882812</v>
      </c>
      <c r="AA78" s="2">
        <v>884</v>
      </c>
      <c r="AB78" s="2">
        <v>642.70001220703102</v>
      </c>
      <c r="AC78" s="2">
        <v>159.96000671386699</v>
      </c>
      <c r="AD78" s="2">
        <v>100.199996948242</v>
      </c>
      <c r="AE78" s="2">
        <v>1134.34997558593</v>
      </c>
      <c r="AG78" s="2">
        <v>17576.30078125</v>
      </c>
      <c r="AH78" s="2">
        <v>59307.1484375</v>
      </c>
      <c r="AI78" s="2">
        <v>28566.8203125</v>
      </c>
    </row>
    <row r="79" spans="1:35" x14ac:dyDescent="0.3">
      <c r="A79" s="1">
        <v>44858</v>
      </c>
      <c r="B79" s="2">
        <v>90.900001525878906</v>
      </c>
      <c r="C79" s="2">
        <v>1099.44995117187</v>
      </c>
      <c r="D79" s="2">
        <v>3088.5</v>
      </c>
      <c r="E79" s="2">
        <v>73.565933227539006</v>
      </c>
      <c r="F79" s="2">
        <v>390.14999389648398</v>
      </c>
      <c r="G79" s="2">
        <v>2666.89990234375</v>
      </c>
      <c r="H79" s="2">
        <v>24.828125</v>
      </c>
      <c r="I79" s="2">
        <v>3409.60009765625</v>
      </c>
      <c r="J79" s="2">
        <v>52.759998321533203</v>
      </c>
      <c r="K79" s="2">
        <v>223.05000305175699</v>
      </c>
      <c r="L79" s="2">
        <v>144.92999267578099</v>
      </c>
      <c r="M79" s="2">
        <v>5797.85009765625</v>
      </c>
      <c r="N79" s="2">
        <v>976.29998779296795</v>
      </c>
      <c r="O79" s="2">
        <v>93</v>
      </c>
      <c r="P79" s="2">
        <v>187.92500305175699</v>
      </c>
      <c r="Q79" s="2">
        <v>331.45001220703102</v>
      </c>
      <c r="R79" s="2">
        <v>264.73001098632801</v>
      </c>
      <c r="S79" s="2">
        <v>22.299999237060501</v>
      </c>
      <c r="T79" s="2">
        <v>256.75</v>
      </c>
      <c r="U79" s="2">
        <v>80.894996643066406</v>
      </c>
      <c r="V79" s="2">
        <v>847.45001220703102</v>
      </c>
      <c r="W79" s="2">
        <v>369.17498779296801</v>
      </c>
      <c r="X79" s="2">
        <v>411</v>
      </c>
      <c r="Y79" s="2">
        <v>1570.75</v>
      </c>
      <c r="Z79" s="2">
        <v>1570.09997558593</v>
      </c>
      <c r="AA79" s="2">
        <v>881.54998779296795</v>
      </c>
      <c r="AB79" s="2">
        <v>649.5</v>
      </c>
      <c r="AC79" s="2">
        <v>169.134994506835</v>
      </c>
      <c r="AD79" s="2">
        <v>101.199996948242</v>
      </c>
      <c r="AE79" s="2">
        <v>1161.44995117187</v>
      </c>
      <c r="AG79" s="2">
        <v>17730.75</v>
      </c>
      <c r="AH79" s="2">
        <v>59831.66015625</v>
      </c>
      <c r="AI79" s="2">
        <v>28848.419921875</v>
      </c>
    </row>
    <row r="80" spans="1:35" x14ac:dyDescent="0.3">
      <c r="A80" s="1">
        <v>44859</v>
      </c>
      <c r="B80" s="2">
        <v>88.699996948242102</v>
      </c>
      <c r="C80" s="2">
        <v>1077.05004882812</v>
      </c>
      <c r="D80" s="2">
        <v>3099.35009765625</v>
      </c>
      <c r="E80" s="2">
        <v>73.065933227539006</v>
      </c>
      <c r="F80" s="2">
        <v>392.95001220703102</v>
      </c>
      <c r="G80" s="2">
        <v>2615.05004882812</v>
      </c>
      <c r="H80" s="2">
        <v>24.5750007629394</v>
      </c>
      <c r="I80" s="2">
        <v>3354.75</v>
      </c>
      <c r="J80" s="2">
        <v>52.779998779296797</v>
      </c>
      <c r="K80" s="2">
        <v>222.80000305175699</v>
      </c>
      <c r="L80" s="2">
        <v>142.08000183105401</v>
      </c>
      <c r="M80" s="2">
        <v>5884.0498046875</v>
      </c>
      <c r="N80" s="2">
        <v>962.79998779296795</v>
      </c>
      <c r="O80" s="2">
        <v>91.800003051757798</v>
      </c>
      <c r="P80" s="2">
        <v>182.82499694824199</v>
      </c>
      <c r="Q80" s="2">
        <v>322.350006103515</v>
      </c>
      <c r="R80" s="2">
        <v>263.27999877929602</v>
      </c>
      <c r="S80" s="2">
        <v>22.5</v>
      </c>
      <c r="T80" s="2">
        <v>254.725006103515</v>
      </c>
      <c r="U80" s="2">
        <v>80.194999694824205</v>
      </c>
      <c r="V80" s="2">
        <v>841.90002441406205</v>
      </c>
      <c r="W80" s="2">
        <v>366.27499389648398</v>
      </c>
      <c r="X80" s="2">
        <v>410.70001220703102</v>
      </c>
      <c r="Y80" s="2">
        <v>1586</v>
      </c>
      <c r="Z80" s="2">
        <v>1547.40002441406</v>
      </c>
      <c r="AA80" s="2">
        <v>861.75</v>
      </c>
      <c r="AB80" s="2">
        <v>642.40002441406205</v>
      </c>
      <c r="AC80" s="2">
        <v>176.97999572753901</v>
      </c>
      <c r="AD80" s="2">
        <v>101.199996948242</v>
      </c>
      <c r="AE80" s="2">
        <v>1150.40002441406</v>
      </c>
      <c r="AG80" s="2">
        <v>17656.349609375</v>
      </c>
      <c r="AH80" s="2">
        <v>59543.9609375</v>
      </c>
      <c r="AI80" s="2">
        <v>28747.939453125</v>
      </c>
    </row>
    <row r="81" spans="1:35" x14ac:dyDescent="0.3">
      <c r="A81" s="1">
        <v>44861</v>
      </c>
      <c r="B81" s="2">
        <v>89.25</v>
      </c>
      <c r="C81" s="2">
        <v>1071.55004882812</v>
      </c>
      <c r="D81" s="2">
        <v>2979.60009765625</v>
      </c>
      <c r="E81" s="2">
        <v>72.999267578125</v>
      </c>
      <c r="F81" s="2">
        <v>391.64999389648398</v>
      </c>
      <c r="G81" s="2">
        <v>2592.39990234375</v>
      </c>
      <c r="H81" s="2">
        <v>24.375</v>
      </c>
      <c r="I81" s="2">
        <v>3445.44995117187</v>
      </c>
      <c r="J81" s="2">
        <v>52.470001220703097</v>
      </c>
      <c r="K81" s="2">
        <v>221.39999389648401</v>
      </c>
      <c r="L81" s="2">
        <v>146.22999572753901</v>
      </c>
      <c r="M81" s="2">
        <v>6079.7001953125</v>
      </c>
      <c r="N81" s="2">
        <v>961.45001220703102</v>
      </c>
      <c r="O81" s="2">
        <v>91.699996948242102</v>
      </c>
      <c r="P81" s="2">
        <v>176.375</v>
      </c>
      <c r="Q81" s="2">
        <v>320.39999389648398</v>
      </c>
      <c r="R81" s="2">
        <v>265.16000366210898</v>
      </c>
      <c r="S81" s="2">
        <v>22.299999237060501</v>
      </c>
      <c r="T81" s="2">
        <v>260.52499389648398</v>
      </c>
      <c r="U81" s="2">
        <v>79.279998779296804</v>
      </c>
      <c r="V81" s="2">
        <v>844.84997558593705</v>
      </c>
      <c r="W81" s="2">
        <v>355.95001220703102</v>
      </c>
      <c r="X81" s="2">
        <v>411.64999389648398</v>
      </c>
      <c r="Y81" s="2">
        <v>1598.09997558593</v>
      </c>
      <c r="Z81" s="2">
        <v>1551.15002441406</v>
      </c>
      <c r="AA81" s="2">
        <v>947.90002441406205</v>
      </c>
      <c r="AB81" s="2">
        <v>634.29998779296795</v>
      </c>
      <c r="AC81" s="2">
        <v>171.88000488281199</v>
      </c>
      <c r="AD81" s="2">
        <v>104.199996948242</v>
      </c>
      <c r="AE81" s="2">
        <v>1253.84997558593</v>
      </c>
      <c r="AG81" s="2">
        <v>17736.94921875</v>
      </c>
      <c r="AH81" s="2">
        <v>59756.83984375</v>
      </c>
      <c r="AI81" s="2">
        <v>28866.119140625</v>
      </c>
    </row>
    <row r="82" spans="1:35" x14ac:dyDescent="0.3">
      <c r="A82" s="1">
        <v>44862</v>
      </c>
      <c r="B82" s="2">
        <v>88.699996948242102</v>
      </c>
      <c r="C82" s="2">
        <v>1073.65002441406</v>
      </c>
      <c r="D82" s="2">
        <v>3013.80004882812</v>
      </c>
      <c r="E82" s="2">
        <v>72.299278259277301</v>
      </c>
      <c r="F82" s="2">
        <v>386.75</v>
      </c>
      <c r="G82" s="2">
        <v>2563.55004882812</v>
      </c>
      <c r="H82" s="2">
        <v>24.206249237060501</v>
      </c>
      <c r="I82" s="2">
        <v>3409.39990234375</v>
      </c>
      <c r="J82" s="2">
        <v>52.2299995422363</v>
      </c>
      <c r="K82" s="2">
        <v>218.600006103515</v>
      </c>
      <c r="L82" s="2">
        <v>151.009994506835</v>
      </c>
      <c r="M82" s="2">
        <v>5985.10009765625</v>
      </c>
      <c r="N82" s="2">
        <v>970.04998779296795</v>
      </c>
      <c r="O82" s="2">
        <v>91.900001525878906</v>
      </c>
      <c r="P82" s="2">
        <v>175.05000305175699</v>
      </c>
      <c r="Q82" s="2">
        <v>312.100006103515</v>
      </c>
      <c r="R82" s="2">
        <v>261.52999877929602</v>
      </c>
      <c r="S82" s="2">
        <v>21.899999618530199</v>
      </c>
      <c r="T82" s="2">
        <v>257.14999389648398</v>
      </c>
      <c r="U82" s="2">
        <v>79.535003662109304</v>
      </c>
      <c r="V82" s="2">
        <v>846.09997558593705</v>
      </c>
      <c r="W82" s="2">
        <v>345.475006103515</v>
      </c>
      <c r="X82" s="2">
        <v>400</v>
      </c>
      <c r="Y82" s="2">
        <v>1601</v>
      </c>
      <c r="Z82" s="2">
        <v>1568.44995117187</v>
      </c>
      <c r="AA82" s="2">
        <v>948.45001220703102</v>
      </c>
      <c r="AB82" s="2">
        <v>634.75</v>
      </c>
      <c r="AC82" s="2">
        <v>172.92999267578099</v>
      </c>
      <c r="AD82" s="2">
        <v>101.59999847412099</v>
      </c>
      <c r="AE82" s="2">
        <v>1233.44995117187</v>
      </c>
      <c r="AG82" s="2">
        <v>17786.80078125</v>
      </c>
      <c r="AH82" s="2">
        <v>59959.8515625</v>
      </c>
      <c r="AI82" s="2">
        <v>28688.5703125</v>
      </c>
    </row>
    <row r="83" spans="1:35" x14ac:dyDescent="0.3">
      <c r="A83" s="1">
        <v>44865</v>
      </c>
      <c r="B83" s="2">
        <v>88.550003051757798</v>
      </c>
      <c r="C83" s="2">
        <v>1078.40002441406</v>
      </c>
      <c r="D83" s="2">
        <v>3027.19995117187</v>
      </c>
      <c r="E83" s="2">
        <v>72.865936279296804</v>
      </c>
      <c r="F83" s="2">
        <v>375.25</v>
      </c>
      <c r="G83" s="2">
        <v>2548.55004882812</v>
      </c>
      <c r="H83" s="2">
        <v>24.193750381469702</v>
      </c>
      <c r="I83" s="2">
        <v>3368.60009765625</v>
      </c>
      <c r="J83" s="2">
        <v>52.860000610351499</v>
      </c>
      <c r="K83" s="2">
        <v>220.30000305175699</v>
      </c>
      <c r="L83" s="2">
        <v>148.850006103515</v>
      </c>
      <c r="M83" s="2">
        <v>6027.89990234375</v>
      </c>
      <c r="N83" s="2">
        <v>960.45001220703102</v>
      </c>
      <c r="O83" s="2">
        <v>95.050003051757798</v>
      </c>
      <c r="P83" s="2">
        <v>175.475006103515</v>
      </c>
      <c r="Q83" s="2">
        <v>321.45001220703102</v>
      </c>
      <c r="R83" s="2">
        <v>265.32000732421801</v>
      </c>
      <c r="S83" s="2">
        <v>22.100000381469702</v>
      </c>
      <c r="T83" s="2">
        <v>261.975006103515</v>
      </c>
      <c r="U83" s="2">
        <v>66.879997253417898</v>
      </c>
      <c r="V83" s="2">
        <v>842.45001220703102</v>
      </c>
      <c r="W83" s="2">
        <v>377.25</v>
      </c>
      <c r="X83" s="2">
        <v>397.850006103515</v>
      </c>
      <c r="Y83" s="2">
        <v>1597</v>
      </c>
      <c r="Z83" s="2">
        <v>1550.25</v>
      </c>
      <c r="AA83" s="2">
        <v>936.09997558593705</v>
      </c>
      <c r="AB83" s="2">
        <v>641.54998779296795</v>
      </c>
      <c r="AC83" s="2">
        <v>173.17999267578099</v>
      </c>
      <c r="AD83" s="2">
        <v>101.550003051757</v>
      </c>
      <c r="AE83" s="2">
        <v>1254.15002441406</v>
      </c>
      <c r="AG83" s="2">
        <v>18012.19921875</v>
      </c>
      <c r="AH83" s="2">
        <v>60746.58984375</v>
      </c>
      <c r="AI83" s="2">
        <v>28817.58984375</v>
      </c>
    </row>
    <row r="84" spans="1:35" x14ac:dyDescent="0.3">
      <c r="A84" s="1">
        <v>44866</v>
      </c>
      <c r="B84" s="2">
        <v>87.599998474121094</v>
      </c>
      <c r="C84" s="2">
        <v>1082.75</v>
      </c>
      <c r="D84" s="2">
        <v>3057.14990234375</v>
      </c>
      <c r="E84" s="2">
        <v>73.332595825195298</v>
      </c>
      <c r="F84" s="2">
        <v>380.95001220703102</v>
      </c>
      <c r="G84" s="2">
        <v>2497.64990234375</v>
      </c>
      <c r="H84" s="2">
        <v>24.024999618530199</v>
      </c>
      <c r="I84" s="2">
        <v>3434</v>
      </c>
      <c r="J84" s="2">
        <v>53.569999694824197</v>
      </c>
      <c r="K84" s="2">
        <v>217.64999389648401</v>
      </c>
      <c r="L84" s="2">
        <v>147.419998168945</v>
      </c>
      <c r="M84" s="2">
        <v>5950.89990234375</v>
      </c>
      <c r="N84" s="2">
        <v>951.45001220703102</v>
      </c>
      <c r="O84" s="2">
        <v>93.849998474121094</v>
      </c>
      <c r="P84" s="2">
        <v>177.27499389648401</v>
      </c>
      <c r="Q84" s="2">
        <v>317.45001220703102</v>
      </c>
      <c r="R84" s="2">
        <v>265.11999511718699</v>
      </c>
      <c r="S84" s="2">
        <v>22.25</v>
      </c>
      <c r="T84" s="2">
        <v>259.875</v>
      </c>
      <c r="U84" s="2">
        <v>70.440002441406193</v>
      </c>
      <c r="V84" s="2">
        <v>843.95001220703102</v>
      </c>
      <c r="W84" s="2">
        <v>388.29998779296801</v>
      </c>
      <c r="X84" s="2">
        <v>407.29998779296801</v>
      </c>
      <c r="Y84" s="2">
        <v>1586.05004882812</v>
      </c>
      <c r="Z84" s="2">
        <v>1588</v>
      </c>
      <c r="AA84" s="2">
        <v>923.5</v>
      </c>
      <c r="AB84" s="2">
        <v>644.79998779296795</v>
      </c>
      <c r="AC84" s="2">
        <v>180.89999389648401</v>
      </c>
      <c r="AD84" s="2">
        <v>101.199996948242</v>
      </c>
      <c r="AE84" s="2">
        <v>1197.59997558593</v>
      </c>
      <c r="AG84" s="2">
        <v>18145.400390625</v>
      </c>
      <c r="AH84" s="2">
        <v>61121.3515625</v>
      </c>
      <c r="AI84" s="2">
        <v>28891.109375</v>
      </c>
    </row>
    <row r="85" spans="1:35" x14ac:dyDescent="0.3">
      <c r="A85" s="1">
        <v>44867</v>
      </c>
      <c r="B85" s="2">
        <v>88.199996948242102</v>
      </c>
      <c r="C85" s="2">
        <v>1089.15002441406</v>
      </c>
      <c r="D85" s="2">
        <v>3093.94995117187</v>
      </c>
      <c r="E85" s="2">
        <v>72.999267578125</v>
      </c>
      <c r="F85" s="2">
        <v>378.70001220703102</v>
      </c>
      <c r="G85" s="2">
        <v>2502.19995117187</v>
      </c>
      <c r="H85" s="2">
        <v>23.6218757629394</v>
      </c>
      <c r="I85" s="2">
        <v>3495.89990234375</v>
      </c>
      <c r="J85" s="2">
        <v>53.700000762939403</v>
      </c>
      <c r="K85" s="2">
        <v>220</v>
      </c>
      <c r="L85" s="2">
        <v>148.58000183105401</v>
      </c>
      <c r="M85" s="2">
        <v>6013.7998046875</v>
      </c>
      <c r="N85" s="2">
        <v>948.09997558593705</v>
      </c>
      <c r="O85" s="2">
        <v>93.550003051757798</v>
      </c>
      <c r="P85" s="2">
        <v>176.42500305175699</v>
      </c>
      <c r="Q85" s="2">
        <v>322.75</v>
      </c>
      <c r="R85" s="2">
        <v>276.80999755859301</v>
      </c>
      <c r="S85" s="2">
        <v>22.549999237060501</v>
      </c>
      <c r="T85" s="2">
        <v>256.375</v>
      </c>
      <c r="U85" s="2">
        <v>70.165000915527301</v>
      </c>
      <c r="V85" s="2">
        <v>843.84997558593705</v>
      </c>
      <c r="W85" s="2">
        <v>399.375</v>
      </c>
      <c r="X85" s="2">
        <v>407.79998779296801</v>
      </c>
      <c r="Y85" s="2">
        <v>1590.80004882812</v>
      </c>
      <c r="Z85" s="2">
        <v>1580.80004882812</v>
      </c>
      <c r="AA85" s="2">
        <v>947.34997558593705</v>
      </c>
      <c r="AB85" s="2">
        <v>649.5</v>
      </c>
      <c r="AC85" s="2">
        <v>185.11999511718699</v>
      </c>
      <c r="AD85" s="2">
        <v>101.25</v>
      </c>
      <c r="AE85" s="2">
        <v>1183.30004882812</v>
      </c>
      <c r="AG85" s="2">
        <v>18082.849609375</v>
      </c>
      <c r="AH85" s="2">
        <v>60906.08984375</v>
      </c>
      <c r="AI85" s="2">
        <v>28956.279296875</v>
      </c>
    </row>
    <row r="86" spans="1:35" x14ac:dyDescent="0.3">
      <c r="A86" s="1">
        <v>44868</v>
      </c>
      <c r="B86" s="2">
        <v>86.650001525878906</v>
      </c>
      <c r="C86" s="2">
        <v>1091.69995117187</v>
      </c>
      <c r="D86" s="2">
        <v>3081.64990234375</v>
      </c>
      <c r="E86" s="2">
        <v>72.765937805175696</v>
      </c>
      <c r="F86" s="2">
        <v>374.600006103515</v>
      </c>
      <c r="G86" s="2">
        <v>2473.35009765625</v>
      </c>
      <c r="H86" s="2">
        <v>23.159374237060501</v>
      </c>
      <c r="I86" s="2">
        <v>3493.75</v>
      </c>
      <c r="J86" s="2">
        <v>53.7299995422363</v>
      </c>
      <c r="K86" s="2">
        <v>229.75</v>
      </c>
      <c r="L86" s="2">
        <v>150.47999572753901</v>
      </c>
      <c r="M86" s="2">
        <v>6381.0498046875</v>
      </c>
      <c r="N86" s="2">
        <v>951.54998779296795</v>
      </c>
      <c r="O86" s="2">
        <v>84.25</v>
      </c>
      <c r="P86" s="2">
        <v>173.92500305175699</v>
      </c>
      <c r="Q86" s="2">
        <v>317.75</v>
      </c>
      <c r="R86" s="2">
        <v>270.579986572265</v>
      </c>
      <c r="S86" s="2">
        <v>23.299999237060501</v>
      </c>
      <c r="T86" s="2">
        <v>259.42498779296801</v>
      </c>
      <c r="U86" s="2">
        <v>69.080001831054602</v>
      </c>
      <c r="V86" s="2">
        <v>843.25</v>
      </c>
      <c r="W86" s="2">
        <v>382.17498779296801</v>
      </c>
      <c r="X86" s="2">
        <v>417.64999389648398</v>
      </c>
      <c r="Y86" s="2">
        <v>1607.44995117187</v>
      </c>
      <c r="Z86" s="2">
        <v>1600.80004882812</v>
      </c>
      <c r="AA86" s="2">
        <v>956.20001220703102</v>
      </c>
      <c r="AB86" s="2">
        <v>648.79998779296795</v>
      </c>
      <c r="AC86" s="2">
        <v>185.38000488281199</v>
      </c>
      <c r="AD86" s="2">
        <v>102</v>
      </c>
      <c r="AE86" s="2">
        <v>1167.55004882812</v>
      </c>
      <c r="AG86" s="2">
        <v>18052.69921875</v>
      </c>
      <c r="AH86" s="2">
        <v>60836.41015625</v>
      </c>
      <c r="AI86" s="2">
        <v>28988.2890625</v>
      </c>
    </row>
    <row r="87" spans="1:35" x14ac:dyDescent="0.3">
      <c r="A87" s="1">
        <v>44869</v>
      </c>
      <c r="B87" s="2">
        <v>86.949996948242102</v>
      </c>
      <c r="C87" s="2">
        <v>1097.59997558593</v>
      </c>
      <c r="D87" s="2">
        <v>3070.64990234375</v>
      </c>
      <c r="E87" s="2">
        <v>72.965934753417898</v>
      </c>
      <c r="F87" s="2">
        <v>365.350006103515</v>
      </c>
      <c r="G87" s="2">
        <v>2453.75</v>
      </c>
      <c r="H87" s="2">
        <v>23.471874237060501</v>
      </c>
      <c r="I87" s="2">
        <v>3455.14990234375</v>
      </c>
      <c r="J87" s="2">
        <v>55.069999694824197</v>
      </c>
      <c r="K87" s="2">
        <v>226.39999389648401</v>
      </c>
      <c r="L87" s="2">
        <v>147.72999572753901</v>
      </c>
      <c r="M87" s="2">
        <v>6527.7001953125</v>
      </c>
      <c r="N87" s="2">
        <v>954.34997558593705</v>
      </c>
      <c r="O87" s="2">
        <v>84.25</v>
      </c>
      <c r="P87" s="2">
        <v>176.80000305175699</v>
      </c>
      <c r="Q87" s="2">
        <v>333.600006103515</v>
      </c>
      <c r="R87" s="2">
        <v>270.989990234375</v>
      </c>
      <c r="S87" s="2">
        <v>22.850000381469702</v>
      </c>
      <c r="T87" s="2">
        <v>261.32501220703102</v>
      </c>
      <c r="U87" s="2">
        <v>68.894996643066406</v>
      </c>
      <c r="V87" s="2">
        <v>837.90002441406205</v>
      </c>
      <c r="W87" s="2">
        <v>386.79998779296801</v>
      </c>
      <c r="X87" s="2">
        <v>428.29998779296801</v>
      </c>
      <c r="Y87" s="2">
        <v>1595.75</v>
      </c>
      <c r="Z87" s="2">
        <v>1617.09997558593</v>
      </c>
      <c r="AA87" s="2">
        <v>948.25</v>
      </c>
      <c r="AB87" s="2">
        <v>670.45001220703102</v>
      </c>
      <c r="AC87" s="2">
        <v>187.27000427246</v>
      </c>
      <c r="AD87" s="2">
        <v>104.75</v>
      </c>
      <c r="AE87" s="2">
        <v>1150.25</v>
      </c>
      <c r="AG87" s="2">
        <v>18117.150390625</v>
      </c>
      <c r="AH87" s="2">
        <v>60950.359375</v>
      </c>
      <c r="AI87" s="2">
        <v>29107.240234375</v>
      </c>
    </row>
    <row r="88" spans="1:35" x14ac:dyDescent="0.3">
      <c r="A88" s="1">
        <v>44872</v>
      </c>
      <c r="B88" s="2">
        <v>86.199996948242102</v>
      </c>
      <c r="C88" s="2">
        <v>1096.05004882812</v>
      </c>
      <c r="D88" s="2">
        <v>3055.05004882812</v>
      </c>
      <c r="E88" s="2">
        <v>73.365928649902301</v>
      </c>
      <c r="F88" s="2">
        <v>388.29998779296801</v>
      </c>
      <c r="G88" s="2">
        <v>2448.94995117187</v>
      </c>
      <c r="H88" s="2">
        <v>24.625</v>
      </c>
      <c r="I88" s="2">
        <v>3398.5</v>
      </c>
      <c r="J88" s="2">
        <v>56.340000152587798</v>
      </c>
      <c r="K88" s="2">
        <v>227.25</v>
      </c>
      <c r="L88" s="2">
        <v>147.49000549316401</v>
      </c>
      <c r="M88" s="2">
        <v>6392.2998046875</v>
      </c>
      <c r="N88" s="2">
        <v>1012.29998779296</v>
      </c>
      <c r="O88" s="2">
        <v>83.5</v>
      </c>
      <c r="P88" s="2">
        <v>182.27499389648401</v>
      </c>
      <c r="Q88" s="2">
        <v>350.25</v>
      </c>
      <c r="R88" s="2">
        <v>268.489990234375</v>
      </c>
      <c r="S88" s="2">
        <v>23.399999618530199</v>
      </c>
      <c r="T88" s="2">
        <v>264.89999389648398</v>
      </c>
      <c r="U88" s="2">
        <v>67.885002136230398</v>
      </c>
      <c r="V88" s="2">
        <v>840.84997558593705</v>
      </c>
      <c r="W88" s="2">
        <v>387.64999389648398</v>
      </c>
      <c r="X88" s="2">
        <v>439.89999389648398</v>
      </c>
      <c r="Y88" s="2">
        <v>1599.80004882812</v>
      </c>
      <c r="Z88" s="2">
        <v>1614.65002441406</v>
      </c>
      <c r="AA88" s="2">
        <v>937.75</v>
      </c>
      <c r="AB88" s="2">
        <v>664.84997558593705</v>
      </c>
      <c r="AC88" s="2">
        <v>189.16499328613199</v>
      </c>
      <c r="AD88" s="2">
        <v>106.699996948242</v>
      </c>
      <c r="AE88" s="2">
        <v>1124.69995117187</v>
      </c>
      <c r="AG88" s="2">
        <v>18202.80078125</v>
      </c>
      <c r="AH88" s="2">
        <v>61185.1484375</v>
      </c>
      <c r="AI88" s="2">
        <v>29292.560546875</v>
      </c>
    </row>
    <row r="89" spans="1:35" x14ac:dyDescent="0.3">
      <c r="A89" s="1">
        <v>44874</v>
      </c>
      <c r="B89" s="2">
        <v>81.849998474121094</v>
      </c>
      <c r="C89" s="2">
        <v>1058.5</v>
      </c>
      <c r="D89" s="2">
        <v>3064.44995117187</v>
      </c>
      <c r="E89" s="2">
        <v>74.699249267578097</v>
      </c>
      <c r="F89" s="2">
        <v>383.04998779296801</v>
      </c>
      <c r="G89" s="2">
        <v>2395.55004882812</v>
      </c>
      <c r="H89" s="2">
        <v>24.553125381469702</v>
      </c>
      <c r="I89" s="2">
        <v>3362.5</v>
      </c>
      <c r="J89" s="2">
        <v>56.029998779296797</v>
      </c>
      <c r="K89" s="2">
        <v>224.100006103515</v>
      </c>
      <c r="L89" s="2">
        <v>154.88000488281199</v>
      </c>
      <c r="M89" s="2">
        <v>6464.64990234375</v>
      </c>
      <c r="N89" s="2">
        <v>1011.29998779296</v>
      </c>
      <c r="O89" s="2">
        <v>81.650001525878906</v>
      </c>
      <c r="P89" s="2">
        <v>187.57499694824199</v>
      </c>
      <c r="Q89" s="2">
        <v>367.75</v>
      </c>
      <c r="R89" s="2">
        <v>256.83999633789</v>
      </c>
      <c r="S89" s="2">
        <v>23.299999237060501</v>
      </c>
      <c r="T89" s="2">
        <v>264.32501220703102</v>
      </c>
      <c r="U89" s="2">
        <v>68.415000915527301</v>
      </c>
      <c r="V89" s="2">
        <v>844.70001220703102</v>
      </c>
      <c r="W89" s="2">
        <v>387.5</v>
      </c>
      <c r="X89" s="2">
        <v>441.39999389648398</v>
      </c>
      <c r="Y89" s="2">
        <v>1619.19995117187</v>
      </c>
      <c r="Z89" s="2">
        <v>1614.69995117187</v>
      </c>
      <c r="AA89" s="2">
        <v>944.90002441406205</v>
      </c>
      <c r="AB89" s="2">
        <v>667.40002441406205</v>
      </c>
      <c r="AC89" s="2">
        <v>182.375</v>
      </c>
      <c r="AD89" s="2">
        <v>106.09999847412099</v>
      </c>
      <c r="AE89" s="2">
        <v>1121.15002441406</v>
      </c>
      <c r="AG89" s="2">
        <v>18157</v>
      </c>
      <c r="AH89" s="2">
        <v>61033.55078125</v>
      </c>
      <c r="AI89" s="2">
        <v>29197.140625</v>
      </c>
    </row>
    <row r="90" spans="1:35" x14ac:dyDescent="0.3">
      <c r="A90" s="1">
        <v>44875</v>
      </c>
      <c r="B90" s="2">
        <v>77.599998474121094</v>
      </c>
      <c r="C90" s="2">
        <v>1046.94995117187</v>
      </c>
      <c r="D90" s="2">
        <v>3021</v>
      </c>
      <c r="E90" s="2">
        <v>75.032585144042898</v>
      </c>
      <c r="F90" s="2">
        <v>373.79998779296801</v>
      </c>
      <c r="G90" s="2">
        <v>2357.89990234375</v>
      </c>
      <c r="H90" s="2">
        <v>24.853124618530199</v>
      </c>
      <c r="I90" s="2">
        <v>3536.44995117187</v>
      </c>
      <c r="J90" s="2">
        <v>55.599998474121001</v>
      </c>
      <c r="K90" s="2">
        <v>220.55000305175699</v>
      </c>
      <c r="L90" s="2">
        <v>158.49000549316401</v>
      </c>
      <c r="M90" s="2">
        <v>6453.14990234375</v>
      </c>
      <c r="N90" s="2">
        <v>981.54998779296795</v>
      </c>
      <c r="O90" s="2">
        <v>83.949996948242102</v>
      </c>
      <c r="P90" s="2">
        <v>183.32499694824199</v>
      </c>
      <c r="Q90" s="2">
        <v>368.29998779296801</v>
      </c>
      <c r="R90" s="2">
        <v>255.91000366210901</v>
      </c>
      <c r="S90" s="2">
        <v>23.25</v>
      </c>
      <c r="T90" s="2">
        <v>265.225006103515</v>
      </c>
      <c r="U90" s="2">
        <v>67.5</v>
      </c>
      <c r="V90" s="2">
        <v>841</v>
      </c>
      <c r="W90" s="2">
        <v>384.125</v>
      </c>
      <c r="X90" s="2">
        <v>437.89999389648398</v>
      </c>
      <c r="Y90" s="2">
        <v>1604.09997558593</v>
      </c>
      <c r="Z90" s="2">
        <v>1600.90002441406</v>
      </c>
      <c r="AA90" s="2">
        <v>940.29998779296795</v>
      </c>
      <c r="AB90" s="2">
        <v>668</v>
      </c>
      <c r="AC90" s="2">
        <v>184.36000061035099</v>
      </c>
      <c r="AD90" s="2">
        <v>104.699996948242</v>
      </c>
      <c r="AE90" s="2">
        <v>1089.80004882812</v>
      </c>
      <c r="AG90" s="2">
        <v>18028.19921875</v>
      </c>
      <c r="AH90" s="2">
        <v>60613.69921875</v>
      </c>
      <c r="AI90" s="2">
        <v>28889.48046875</v>
      </c>
    </row>
    <row r="91" spans="1:35" x14ac:dyDescent="0.3">
      <c r="A91" s="1">
        <v>44876</v>
      </c>
      <c r="B91" s="2">
        <v>78</v>
      </c>
      <c r="C91" s="2">
        <v>1050.40002441406</v>
      </c>
      <c r="D91" s="2">
        <v>3023.05004882812</v>
      </c>
      <c r="E91" s="2">
        <v>75.232582092285099</v>
      </c>
      <c r="F91" s="2">
        <v>382.600006103515</v>
      </c>
      <c r="G91" s="2">
        <v>2395.94995117187</v>
      </c>
      <c r="H91" s="2">
        <v>25.178125381469702</v>
      </c>
      <c r="I91" s="2">
        <v>3490.44995117187</v>
      </c>
      <c r="J91" s="2">
        <v>56.340000152587798</v>
      </c>
      <c r="K91" s="2">
        <v>223.55000305175699</v>
      </c>
      <c r="L91" s="2">
        <v>164.38999938964801</v>
      </c>
      <c r="M91" s="2">
        <v>6377.14990234375</v>
      </c>
      <c r="N91" s="2">
        <v>999.84997558593705</v>
      </c>
      <c r="O91" s="2">
        <v>84</v>
      </c>
      <c r="P91" s="2">
        <v>184.67500305175699</v>
      </c>
      <c r="Q91" s="2">
        <v>358.70001220703102</v>
      </c>
      <c r="R91" s="2">
        <v>247.27999877929599</v>
      </c>
      <c r="S91" s="2">
        <v>23.049999237060501</v>
      </c>
      <c r="T91" s="2">
        <v>265.92498779296801</v>
      </c>
      <c r="U91" s="2">
        <v>68.120002746582003</v>
      </c>
      <c r="V91" s="2">
        <v>833.90002441406205</v>
      </c>
      <c r="W91" s="2">
        <v>378.25</v>
      </c>
      <c r="X91" s="2">
        <v>443.79998779296801</v>
      </c>
      <c r="Y91" s="2">
        <v>1599.19995117187</v>
      </c>
      <c r="Z91" s="2">
        <v>1605.65002441406</v>
      </c>
      <c r="AA91" s="2">
        <v>948.59997558593705</v>
      </c>
      <c r="AB91" s="2">
        <v>665.54998779296795</v>
      </c>
      <c r="AC91" s="2">
        <v>182.19500732421801</v>
      </c>
      <c r="AD91" s="2">
        <v>107.550003051757</v>
      </c>
      <c r="AE91" s="2">
        <v>1116.80004882812</v>
      </c>
      <c r="AG91" s="2">
        <v>18349.69921875</v>
      </c>
      <c r="AH91" s="2">
        <v>61795.0390625</v>
      </c>
      <c r="AI91" s="2">
        <v>28985.060546875</v>
      </c>
    </row>
    <row r="92" spans="1:35" x14ac:dyDescent="0.3">
      <c r="A92" s="1">
        <v>44879</v>
      </c>
      <c r="B92" s="2">
        <v>76.5</v>
      </c>
      <c r="C92" s="2">
        <v>1082.84997558593</v>
      </c>
      <c r="D92" s="2">
        <v>2992.94995117187</v>
      </c>
      <c r="E92" s="2">
        <v>73.065933227539006</v>
      </c>
      <c r="F92" s="2">
        <v>384.89999389648398</v>
      </c>
      <c r="G92" s="2">
        <v>2375.80004882812</v>
      </c>
      <c r="H92" s="2">
        <v>25.1687507629394</v>
      </c>
      <c r="I92" s="2">
        <v>3646.19995117187</v>
      </c>
      <c r="J92" s="2">
        <v>57.090000152587798</v>
      </c>
      <c r="K92" s="2">
        <v>213.850006103515</v>
      </c>
      <c r="L92" s="2">
        <v>169.72999572753901</v>
      </c>
      <c r="M92" s="2">
        <v>6451.89990234375</v>
      </c>
      <c r="N92" s="2">
        <v>942.59997558593705</v>
      </c>
      <c r="O92" s="2">
        <v>82.949996948242102</v>
      </c>
      <c r="P92" s="2">
        <v>188.77499389648401</v>
      </c>
      <c r="Q92" s="2">
        <v>365.850006103515</v>
      </c>
      <c r="R92" s="2">
        <v>249.52999877929599</v>
      </c>
      <c r="S92" s="2">
        <v>22.75</v>
      </c>
      <c r="T92" s="2">
        <v>270.29998779296801</v>
      </c>
      <c r="U92" s="2">
        <v>67.764999389648395</v>
      </c>
      <c r="V92" s="2">
        <v>808.84997558593705</v>
      </c>
      <c r="W92" s="2">
        <v>392.52499389648398</v>
      </c>
      <c r="X92" s="2">
        <v>437.29998779296801</v>
      </c>
      <c r="Y92" s="2">
        <v>1585.19995117187</v>
      </c>
      <c r="Z92" s="2">
        <v>1600.59997558593</v>
      </c>
      <c r="AA92" s="2">
        <v>940.25</v>
      </c>
      <c r="AB92" s="2">
        <v>641.34997558593705</v>
      </c>
      <c r="AC92" s="2">
        <v>178.46000671386699</v>
      </c>
      <c r="AD92" s="2">
        <v>108.699996948242</v>
      </c>
      <c r="AE92" s="2">
        <v>1130.5</v>
      </c>
      <c r="AG92" s="2">
        <v>18329.150390625</v>
      </c>
      <c r="AH92" s="2">
        <v>61624.1484375</v>
      </c>
      <c r="AI92" s="2">
        <v>29056.33984375</v>
      </c>
    </row>
    <row r="93" spans="1:35" x14ac:dyDescent="0.3">
      <c r="A93" s="1">
        <v>44880</v>
      </c>
      <c r="B93" s="2">
        <v>76.25</v>
      </c>
      <c r="C93" s="2">
        <v>1072.90002441406</v>
      </c>
      <c r="D93" s="2">
        <v>2964.44995117187</v>
      </c>
      <c r="E93" s="2">
        <v>73.299263000488196</v>
      </c>
      <c r="F93" s="2">
        <v>385</v>
      </c>
      <c r="G93" s="2">
        <v>2352.44995117187</v>
      </c>
      <c r="H93" s="2">
        <v>24.943750381469702</v>
      </c>
      <c r="I93" s="2">
        <v>3703</v>
      </c>
      <c r="J93" s="2">
        <v>56.189998626708899</v>
      </c>
      <c r="K93" s="2">
        <v>211.5</v>
      </c>
      <c r="L93" s="2">
        <v>170.759994506835</v>
      </c>
      <c r="M93" s="2">
        <v>6403.7998046875</v>
      </c>
      <c r="N93" s="2">
        <v>959.90002441406205</v>
      </c>
      <c r="O93" s="2">
        <v>83</v>
      </c>
      <c r="P93" s="2">
        <v>182.52499389648401</v>
      </c>
      <c r="Q93" s="2">
        <v>384.100006103515</v>
      </c>
      <c r="R93" s="2">
        <v>254.600006103515</v>
      </c>
      <c r="S93" s="2">
        <v>22</v>
      </c>
      <c r="T93" s="2">
        <v>273.375</v>
      </c>
      <c r="U93" s="2">
        <v>67.919998168945298</v>
      </c>
      <c r="V93" s="2">
        <v>796.59997558593705</v>
      </c>
      <c r="W93" s="2">
        <v>389.64999389648398</v>
      </c>
      <c r="X93" s="2">
        <v>432.95001220703102</v>
      </c>
      <c r="Y93" s="2">
        <v>1586.69995117187</v>
      </c>
      <c r="Z93" s="2">
        <v>1600.44995117187</v>
      </c>
      <c r="AA93" s="2">
        <v>1032.75</v>
      </c>
      <c r="AB93" s="2">
        <v>639.75</v>
      </c>
      <c r="AC93" s="2">
        <v>181.86500549316401</v>
      </c>
      <c r="AD93" s="2">
        <v>108.550003051757</v>
      </c>
      <c r="AE93" s="2">
        <v>1131.05004882812</v>
      </c>
      <c r="AG93" s="2">
        <v>18403.400390625</v>
      </c>
      <c r="AH93" s="2">
        <v>61872.98828125</v>
      </c>
      <c r="AI93" s="2">
        <v>29058.349609375</v>
      </c>
    </row>
    <row r="94" spans="1:35" x14ac:dyDescent="0.3">
      <c r="A94" s="1">
        <v>44881</v>
      </c>
      <c r="B94" s="2">
        <v>76.349998474121094</v>
      </c>
      <c r="C94" s="2">
        <v>1082.34997558593</v>
      </c>
      <c r="D94" s="2">
        <v>2955.75</v>
      </c>
      <c r="E94" s="2">
        <v>73.265930175781193</v>
      </c>
      <c r="F94" s="2">
        <v>387.75</v>
      </c>
      <c r="G94" s="2">
        <v>2355.30004882812</v>
      </c>
      <c r="H94" s="2">
        <v>24.706249237060501</v>
      </c>
      <c r="I94" s="2">
        <v>3671.94995117187</v>
      </c>
      <c r="J94" s="2">
        <v>54.590000152587798</v>
      </c>
      <c r="K94" s="2">
        <v>208.5</v>
      </c>
      <c r="L94" s="2">
        <v>176.419998168945</v>
      </c>
      <c r="M94" s="2">
        <v>6318.4501953125</v>
      </c>
      <c r="N94" s="2">
        <v>943.40002441406205</v>
      </c>
      <c r="O94" s="2">
        <v>81.800003051757798</v>
      </c>
      <c r="P94" s="2">
        <v>186.30000305175699</v>
      </c>
      <c r="Q94" s="2">
        <v>403.29998779296801</v>
      </c>
      <c r="R94" s="2">
        <v>253.66000366210901</v>
      </c>
      <c r="S94" s="2">
        <v>21.850000381469702</v>
      </c>
      <c r="T94" s="2">
        <v>271.29998779296801</v>
      </c>
      <c r="U94" s="2">
        <v>67.625</v>
      </c>
      <c r="V94" s="2">
        <v>792.54998779296795</v>
      </c>
      <c r="W94" s="2">
        <v>385.14999389648398</v>
      </c>
      <c r="X94" s="2">
        <v>461.04998779296801</v>
      </c>
      <c r="Y94" s="2">
        <v>1570</v>
      </c>
      <c r="Z94" s="2">
        <v>1600.05004882812</v>
      </c>
      <c r="AA94" s="2">
        <v>1136</v>
      </c>
      <c r="AB94" s="2">
        <v>630.15002441406205</v>
      </c>
      <c r="AC94" s="2">
        <v>185.00500488281199</v>
      </c>
      <c r="AD94" s="2">
        <v>106.550003051757</v>
      </c>
      <c r="AE94" s="2">
        <v>1168.55004882812</v>
      </c>
      <c r="AG94" s="2">
        <v>18409.650390625</v>
      </c>
      <c r="AH94" s="2">
        <v>61980.71875</v>
      </c>
      <c r="AI94" s="2">
        <v>28958.869140625</v>
      </c>
    </row>
    <row r="95" spans="1:35" x14ac:dyDescent="0.3">
      <c r="A95" s="1">
        <v>44882</v>
      </c>
      <c r="B95" s="2">
        <v>75.699996948242102</v>
      </c>
      <c r="C95" s="2">
        <v>1093</v>
      </c>
      <c r="D95" s="2">
        <v>2907.64990234375</v>
      </c>
      <c r="E95" s="2">
        <v>72.799270629882798</v>
      </c>
      <c r="F95" s="2">
        <v>401.350006103515</v>
      </c>
      <c r="G95" s="2">
        <v>2350</v>
      </c>
      <c r="H95" s="2">
        <v>24.5593757629394</v>
      </c>
      <c r="I95" s="2">
        <v>3676</v>
      </c>
      <c r="J95" s="2">
        <v>53.360000610351499</v>
      </c>
      <c r="K95" s="2">
        <v>209.25</v>
      </c>
      <c r="L95" s="2">
        <v>179.169998168945</v>
      </c>
      <c r="M95" s="2">
        <v>6302.5498046875</v>
      </c>
      <c r="N95" s="2">
        <v>934.25</v>
      </c>
      <c r="O95" s="2">
        <v>80.699996948242102</v>
      </c>
      <c r="P95" s="2">
        <v>185.600006103515</v>
      </c>
      <c r="Q95" s="2">
        <v>423.45001220703102</v>
      </c>
      <c r="R95" s="2">
        <v>253.74000549316401</v>
      </c>
      <c r="S95" s="2">
        <v>22.299999237060501</v>
      </c>
      <c r="T95" s="2">
        <v>270.375</v>
      </c>
      <c r="U95" s="2">
        <v>67.690002441406193</v>
      </c>
      <c r="V95" s="2">
        <v>788.84997558593705</v>
      </c>
      <c r="W95" s="2">
        <v>381.375</v>
      </c>
      <c r="X95" s="2">
        <v>473.75</v>
      </c>
      <c r="Y95" s="2">
        <v>1570.09997558593</v>
      </c>
      <c r="Z95" s="2">
        <v>1581.19995117187</v>
      </c>
      <c r="AA95" s="2">
        <v>1203.69995117187</v>
      </c>
      <c r="AB95" s="2">
        <v>630.59997558593705</v>
      </c>
      <c r="AC95" s="2">
        <v>186.66499328613199</v>
      </c>
      <c r="AD95" s="2">
        <v>105.84999847412099</v>
      </c>
      <c r="AE95" s="2">
        <v>1191.90002441406</v>
      </c>
      <c r="AG95" s="2">
        <v>18343.900390625</v>
      </c>
      <c r="AH95" s="2">
        <v>61750.6015625</v>
      </c>
      <c r="AI95" s="2">
        <v>28880.08984375</v>
      </c>
    </row>
    <row r="96" spans="1:35" x14ac:dyDescent="0.3">
      <c r="A96" s="1">
        <v>44883</v>
      </c>
      <c r="B96" s="2">
        <v>75.300003051757798</v>
      </c>
      <c r="C96" s="2">
        <v>1080.65002441406</v>
      </c>
      <c r="D96" s="2">
        <v>2896.14990234375</v>
      </c>
      <c r="E96" s="2">
        <v>72.432609558105398</v>
      </c>
      <c r="F96" s="2">
        <v>392.79998779296801</v>
      </c>
      <c r="G96" s="2">
        <v>2294.44995117187</v>
      </c>
      <c r="H96" s="2">
        <v>23.834375381469702</v>
      </c>
      <c r="I96" s="2">
        <v>3875.69995117187</v>
      </c>
      <c r="J96" s="2">
        <v>54.569999694824197</v>
      </c>
      <c r="K96" s="2">
        <v>203.44999694824199</v>
      </c>
      <c r="L96" s="2">
        <v>177.39999389648401</v>
      </c>
      <c r="M96" s="2">
        <v>6309.7001953125</v>
      </c>
      <c r="N96" s="2">
        <v>924.84997558593705</v>
      </c>
      <c r="O96" s="2">
        <v>80.449996948242102</v>
      </c>
      <c r="P96" s="2">
        <v>182.77499389648401</v>
      </c>
      <c r="Q96" s="2">
        <v>402.29998779296801</v>
      </c>
      <c r="R96" s="2">
        <v>252.63999938964801</v>
      </c>
      <c r="S96" s="2">
        <v>22.049999237060501</v>
      </c>
      <c r="T96" s="2">
        <v>262.475006103515</v>
      </c>
      <c r="U96" s="2">
        <v>67.355003356933594</v>
      </c>
      <c r="V96" s="2">
        <v>786.84997558593705</v>
      </c>
      <c r="W96" s="2">
        <v>380</v>
      </c>
      <c r="X96" s="2">
        <v>476.850006103515</v>
      </c>
      <c r="Y96" s="2">
        <v>1572.25</v>
      </c>
      <c r="Z96" s="2">
        <v>1580.09997558593</v>
      </c>
      <c r="AA96" s="2">
        <v>1144.34997558593</v>
      </c>
      <c r="AB96" s="2">
        <v>620.84997558593705</v>
      </c>
      <c r="AC96" s="2">
        <v>187.72000122070301</v>
      </c>
      <c r="AD96" s="2">
        <v>105.5</v>
      </c>
      <c r="AE96" s="2">
        <v>1191.59997558593</v>
      </c>
      <c r="AG96" s="2">
        <v>18307.650390625</v>
      </c>
      <c r="AH96" s="2">
        <v>61663.48046875</v>
      </c>
      <c r="AI96" s="2">
        <v>28750.109375</v>
      </c>
    </row>
    <row r="97" spans="1:35" x14ac:dyDescent="0.3">
      <c r="A97" s="1">
        <v>44886</v>
      </c>
      <c r="B97" s="2">
        <v>74.199996948242102</v>
      </c>
      <c r="C97" s="2">
        <v>1104.84997558593</v>
      </c>
      <c r="D97" s="2">
        <v>2921.25</v>
      </c>
      <c r="E97" s="2">
        <v>70.565963745117102</v>
      </c>
      <c r="F97" s="2">
        <v>390.100006103515</v>
      </c>
      <c r="G97" s="2">
        <v>2284.55004882812</v>
      </c>
      <c r="H97" s="2">
        <v>28.5750007629394</v>
      </c>
      <c r="I97" s="2">
        <v>3773.05004882812</v>
      </c>
      <c r="J97" s="2">
        <v>62.430000305175703</v>
      </c>
      <c r="K97" s="2">
        <v>206.30000305175699</v>
      </c>
      <c r="L97" s="2">
        <v>168.669998168945</v>
      </c>
      <c r="M97" s="2">
        <v>6299.35009765625</v>
      </c>
      <c r="N97" s="2">
        <v>926.04998779296795</v>
      </c>
      <c r="O97" s="2">
        <v>78.650001525878906</v>
      </c>
      <c r="P97" s="2">
        <v>178.125</v>
      </c>
      <c r="Q97" s="2">
        <v>382.20001220703102</v>
      </c>
      <c r="R97" s="2">
        <v>252.41000366210901</v>
      </c>
      <c r="S97" s="2">
        <v>21.9500007629394</v>
      </c>
      <c r="T97" s="2">
        <v>261.42498779296801</v>
      </c>
      <c r="U97" s="2">
        <v>66.224998474121094</v>
      </c>
      <c r="V97" s="2">
        <v>789.70001220703102</v>
      </c>
      <c r="W97" s="2">
        <v>374.57501220703102</v>
      </c>
      <c r="X97" s="2">
        <v>465.64999389648398</v>
      </c>
      <c r="Y97" s="2">
        <v>1594.40002441406</v>
      </c>
      <c r="Z97" s="2">
        <v>1591.80004882812</v>
      </c>
      <c r="AA97" s="2">
        <v>1087.55004882812</v>
      </c>
      <c r="AB97" s="2">
        <v>618.34997558593705</v>
      </c>
      <c r="AC97" s="2">
        <v>185.00500488281199</v>
      </c>
      <c r="AD97" s="2">
        <v>104.25</v>
      </c>
      <c r="AE97" s="2">
        <v>1121.25</v>
      </c>
      <c r="AG97" s="2">
        <v>18159.94921875</v>
      </c>
      <c r="AH97" s="2">
        <v>61144.83984375</v>
      </c>
      <c r="AI97" s="2">
        <v>28752.58984375</v>
      </c>
    </row>
    <row r="98" spans="1:35" x14ac:dyDescent="0.3">
      <c r="A98" s="1">
        <v>44887</v>
      </c>
      <c r="B98" s="2">
        <v>76.099998474121094</v>
      </c>
      <c r="C98" s="2">
        <v>1124.40002441406</v>
      </c>
      <c r="D98" s="2">
        <v>2907.25</v>
      </c>
      <c r="E98" s="2">
        <v>69.965965270996094</v>
      </c>
      <c r="F98" s="2">
        <v>389.20001220703102</v>
      </c>
      <c r="G98" s="2">
        <v>2278.05004882812</v>
      </c>
      <c r="H98" s="2">
        <v>34.125</v>
      </c>
      <c r="I98" s="2">
        <v>3711.44995117187</v>
      </c>
      <c r="J98" s="2">
        <v>60.849998474121001</v>
      </c>
      <c r="K98" s="2">
        <v>203.75</v>
      </c>
      <c r="L98" s="2">
        <v>153.63000488281199</v>
      </c>
      <c r="M98" s="2">
        <v>6199.35009765625</v>
      </c>
      <c r="N98" s="2">
        <v>922.54998779296795</v>
      </c>
      <c r="O98" s="2">
        <v>77.050003051757798</v>
      </c>
      <c r="P98" s="2">
        <v>177.27499389648401</v>
      </c>
      <c r="Q98" s="2">
        <v>376.25</v>
      </c>
      <c r="R98" s="2">
        <v>251.47999572753901</v>
      </c>
      <c r="S98" s="2">
        <v>21.75</v>
      </c>
      <c r="T98" s="2">
        <v>260.75</v>
      </c>
      <c r="U98" s="2">
        <v>65.055000305175696</v>
      </c>
      <c r="V98" s="2">
        <v>786.29998779296795</v>
      </c>
      <c r="W98" s="2">
        <v>374.975006103515</v>
      </c>
      <c r="X98" s="2">
        <v>466.45001220703102</v>
      </c>
      <c r="Y98" s="2">
        <v>1580.55004882812</v>
      </c>
      <c r="Z98" s="2">
        <v>1583.80004882812</v>
      </c>
      <c r="AA98" s="2">
        <v>1098.75</v>
      </c>
      <c r="AB98" s="2">
        <v>610.75</v>
      </c>
      <c r="AC98" s="2">
        <v>185.48500061035099</v>
      </c>
      <c r="AD98" s="2">
        <v>105.199996948242</v>
      </c>
      <c r="AE98" s="2">
        <v>1111.84997558593</v>
      </c>
      <c r="AG98" s="2">
        <v>18244.19921875</v>
      </c>
      <c r="AH98" s="2">
        <v>61418.9609375</v>
      </c>
      <c r="AI98" s="2">
        <v>28723.25</v>
      </c>
    </row>
    <row r="99" spans="1:35" x14ac:dyDescent="0.3">
      <c r="A99" s="1">
        <v>44888</v>
      </c>
      <c r="B99" s="2">
        <v>76.75</v>
      </c>
      <c r="C99" s="2">
        <v>1135.69995117187</v>
      </c>
      <c r="D99" s="2">
        <v>2917.35009765625</v>
      </c>
      <c r="E99" s="2">
        <v>70.865959167480398</v>
      </c>
      <c r="F99" s="2">
        <v>389.64999389648398</v>
      </c>
      <c r="G99" s="2">
        <v>2270.44995117187</v>
      </c>
      <c r="H99" s="2">
        <v>33.650001525878899</v>
      </c>
      <c r="I99" s="2">
        <v>3680</v>
      </c>
      <c r="J99" s="2">
        <v>61.990001678466797</v>
      </c>
      <c r="K99" s="2">
        <v>207.19999694824199</v>
      </c>
      <c r="L99" s="2">
        <v>151.64999389648401</v>
      </c>
      <c r="M99" s="2">
        <v>6129.4501953125</v>
      </c>
      <c r="N99" s="2">
        <v>933</v>
      </c>
      <c r="O99" s="2">
        <v>79.949996948242102</v>
      </c>
      <c r="P99" s="2">
        <v>177.350006103515</v>
      </c>
      <c r="Q99" s="2">
        <v>358.89999389648398</v>
      </c>
      <c r="R99" s="2">
        <v>253.66000366210901</v>
      </c>
      <c r="S99" s="2">
        <v>21.600000381469702</v>
      </c>
      <c r="T99" s="2">
        <v>262.70001220703102</v>
      </c>
      <c r="U99" s="2">
        <v>64.394996643066406</v>
      </c>
      <c r="V99" s="2">
        <v>771.59997558593705</v>
      </c>
      <c r="W99" s="2">
        <v>379.350006103515</v>
      </c>
      <c r="X99" s="2">
        <v>466</v>
      </c>
      <c r="Y99" s="2">
        <v>1576.90002441406</v>
      </c>
      <c r="Z99" s="2">
        <v>1580.55004882812</v>
      </c>
      <c r="AA99" s="2">
        <v>1121</v>
      </c>
      <c r="AB99" s="2">
        <v>612.04998779296795</v>
      </c>
      <c r="AC99" s="2">
        <v>182.33000183105401</v>
      </c>
      <c r="AD99" s="2">
        <v>105.449996948242</v>
      </c>
      <c r="AE99" s="2">
        <v>1153</v>
      </c>
      <c r="AG99" s="2">
        <v>18267.25</v>
      </c>
      <c r="AH99" s="2">
        <v>61510.578125</v>
      </c>
      <c r="AI99" s="2">
        <v>28878.259765625</v>
      </c>
    </row>
    <row r="100" spans="1:35" x14ac:dyDescent="0.3">
      <c r="A100" s="1">
        <v>44889</v>
      </c>
      <c r="B100" s="2">
        <v>76.599998474121094</v>
      </c>
      <c r="C100" s="2">
        <v>1097</v>
      </c>
      <c r="D100" s="2">
        <v>2930.30004882812</v>
      </c>
      <c r="E100" s="2">
        <v>71.332618713378906</v>
      </c>
      <c r="F100" s="2">
        <v>390</v>
      </c>
      <c r="G100" s="2">
        <v>2296.55004882812</v>
      </c>
      <c r="H100" s="2">
        <v>34.150001525878899</v>
      </c>
      <c r="I100" s="2">
        <v>3774.85009765625</v>
      </c>
      <c r="J100" s="2">
        <v>61.439998626708899</v>
      </c>
      <c r="K100" s="2">
        <v>207.30000305175699</v>
      </c>
      <c r="L100" s="2">
        <v>150.30999755859301</v>
      </c>
      <c r="M100" s="2">
        <v>6094.4501953125</v>
      </c>
      <c r="N100" s="2">
        <v>934.59997558593705</v>
      </c>
      <c r="O100" s="2">
        <v>81.349998474121094</v>
      </c>
      <c r="P100" s="2">
        <v>180.39999389648401</v>
      </c>
      <c r="Q100" s="2">
        <v>368.39999389648398</v>
      </c>
      <c r="R100" s="2">
        <v>251.22999572753901</v>
      </c>
      <c r="S100" s="2">
        <v>21.549999237060501</v>
      </c>
      <c r="T100" s="2">
        <v>265.27499389648398</v>
      </c>
      <c r="U100" s="2">
        <v>64.680000305175696</v>
      </c>
      <c r="V100" s="2">
        <v>786.40002441406205</v>
      </c>
      <c r="W100" s="2">
        <v>378.54998779296801</v>
      </c>
      <c r="X100" s="2">
        <v>468.100006103515</v>
      </c>
      <c r="Y100" s="2">
        <v>1570.19995117187</v>
      </c>
      <c r="Z100" s="2">
        <v>1580</v>
      </c>
      <c r="AA100" s="2">
        <v>1078.19995117187</v>
      </c>
      <c r="AB100" s="2">
        <v>617.84997558593705</v>
      </c>
      <c r="AC100" s="2">
        <v>181.27499389648401</v>
      </c>
      <c r="AD100" s="2">
        <v>105.5</v>
      </c>
      <c r="AE100" s="2">
        <v>1173.59997558593</v>
      </c>
      <c r="AG100" s="2">
        <v>18484.099609375</v>
      </c>
      <c r="AH100" s="2">
        <v>62272.6796875</v>
      </c>
      <c r="AI100" s="2">
        <v>29000.599609375</v>
      </c>
    </row>
    <row r="101" spans="1:35" x14ac:dyDescent="0.3">
      <c r="A101" s="1">
        <v>44890</v>
      </c>
      <c r="B101" s="2">
        <v>77.699996948242102</v>
      </c>
      <c r="C101" s="2">
        <v>1080.5</v>
      </c>
      <c r="D101" s="2">
        <v>2924.44995117187</v>
      </c>
      <c r="E101" s="2">
        <v>73.499267578125</v>
      </c>
      <c r="F101" s="2">
        <v>390.600006103515</v>
      </c>
      <c r="G101" s="2">
        <v>2324.30004882812</v>
      </c>
      <c r="H101" s="2">
        <v>32.5</v>
      </c>
      <c r="I101" s="2">
        <v>3750.10009765625</v>
      </c>
      <c r="J101" s="2">
        <v>60.540000915527301</v>
      </c>
      <c r="K101" s="2">
        <v>213.89999389648401</v>
      </c>
      <c r="L101" s="2">
        <v>152.07000732421801</v>
      </c>
      <c r="M101" s="2">
        <v>6176.7001953125</v>
      </c>
      <c r="N101" s="2">
        <v>931.75</v>
      </c>
      <c r="O101" s="2">
        <v>80.300003051757798</v>
      </c>
      <c r="P101" s="2">
        <v>181.475006103515</v>
      </c>
      <c r="Q101" s="2">
        <v>386.79998779296801</v>
      </c>
      <c r="R101" s="2">
        <v>255.96000671386699</v>
      </c>
      <c r="S101" s="2">
        <v>21.600000381469702</v>
      </c>
      <c r="T101" s="2">
        <v>276.20001220703102</v>
      </c>
      <c r="U101" s="2">
        <v>65.025001525878906</v>
      </c>
      <c r="V101" s="2">
        <v>783.75</v>
      </c>
      <c r="W101" s="2">
        <v>374.29998779296801</v>
      </c>
      <c r="X101" s="2">
        <v>462.64999389648398</v>
      </c>
      <c r="Y101" s="2">
        <v>1571.84997558593</v>
      </c>
      <c r="Z101" s="2">
        <v>1595.15002441406</v>
      </c>
      <c r="AA101" s="2">
        <v>1034.40002441406</v>
      </c>
      <c r="AB101" s="2">
        <v>614.95001220703102</v>
      </c>
      <c r="AC101" s="2">
        <v>180.19500732421801</v>
      </c>
      <c r="AD101" s="2">
        <v>106.199996948242</v>
      </c>
      <c r="AE101" s="2">
        <v>1176.40002441406</v>
      </c>
      <c r="AG101" s="2">
        <v>18512.75</v>
      </c>
      <c r="AH101" s="2">
        <v>62293.640625</v>
      </c>
      <c r="AI101" s="2">
        <v>29201.689453125</v>
      </c>
    </row>
    <row r="102" spans="1:35" x14ac:dyDescent="0.3">
      <c r="A102" s="1">
        <v>44893</v>
      </c>
      <c r="B102" s="2">
        <v>78.199996948242102</v>
      </c>
      <c r="C102" s="2">
        <v>1084.40002441406</v>
      </c>
      <c r="D102" s="2">
        <v>2927.60009765625</v>
      </c>
      <c r="E102" s="2">
        <v>73.732597351074205</v>
      </c>
      <c r="F102" s="2">
        <v>388.79998779296801</v>
      </c>
      <c r="G102" s="2">
        <v>2357.30004882812</v>
      </c>
      <c r="H102" s="2">
        <v>33.724998474121001</v>
      </c>
      <c r="I102" s="2">
        <v>3786.69995117187</v>
      </c>
      <c r="J102" s="2">
        <v>60.069999694824197</v>
      </c>
      <c r="K102" s="2">
        <v>213.44999694824199</v>
      </c>
      <c r="L102" s="2">
        <v>168.46000671386699</v>
      </c>
      <c r="M102" s="2">
        <v>6262.7998046875</v>
      </c>
      <c r="N102" s="2">
        <v>930.15002441406205</v>
      </c>
      <c r="O102" s="2">
        <v>80.650001525878906</v>
      </c>
      <c r="P102" s="2">
        <v>184.5</v>
      </c>
      <c r="Q102" s="2">
        <v>406.100006103515</v>
      </c>
      <c r="R102" s="2">
        <v>254.52000427246</v>
      </c>
      <c r="S102" s="2">
        <v>22</v>
      </c>
      <c r="T102" s="2">
        <v>291.42498779296801</v>
      </c>
      <c r="U102" s="2">
        <v>71.394996643066406</v>
      </c>
      <c r="V102" s="2">
        <v>790.40002441406205</v>
      </c>
      <c r="W102" s="2">
        <v>375.850006103515</v>
      </c>
      <c r="X102" s="2">
        <v>457.29998779296801</v>
      </c>
      <c r="Y102" s="2">
        <v>1573.5</v>
      </c>
      <c r="Z102" s="2">
        <v>1554.05004882812</v>
      </c>
      <c r="AA102" s="2">
        <v>1017.75</v>
      </c>
      <c r="AB102" s="2">
        <v>615.84997558593705</v>
      </c>
      <c r="AC102" s="2">
        <v>183.35499572753901</v>
      </c>
      <c r="AD102" s="2">
        <v>104.900001525878</v>
      </c>
      <c r="AE102" s="2">
        <v>1180.44995117187</v>
      </c>
      <c r="AG102" s="2">
        <v>18562.75</v>
      </c>
      <c r="AH102" s="2">
        <v>62504.80078125</v>
      </c>
      <c r="AI102" s="2">
        <v>29426.740234375</v>
      </c>
    </row>
    <row r="103" spans="1:35" x14ac:dyDescent="0.3">
      <c r="A103" s="1">
        <v>44894</v>
      </c>
      <c r="B103" s="2">
        <v>79.25</v>
      </c>
      <c r="C103" s="2">
        <v>1074.44995117187</v>
      </c>
      <c r="D103" s="2">
        <v>3044.64990234375</v>
      </c>
      <c r="E103" s="2">
        <v>73.365928649902301</v>
      </c>
      <c r="F103" s="2">
        <v>386.95001220703102</v>
      </c>
      <c r="G103" s="2">
        <v>2354</v>
      </c>
      <c r="H103" s="2">
        <v>33.275001525878899</v>
      </c>
      <c r="I103" s="2">
        <v>3800.69995117187</v>
      </c>
      <c r="J103" s="2">
        <v>62.340000152587798</v>
      </c>
      <c r="K103" s="2">
        <v>214.14999389648401</v>
      </c>
      <c r="L103" s="2">
        <v>164.47999572753901</v>
      </c>
      <c r="M103" s="2">
        <v>6361.7001953125</v>
      </c>
      <c r="N103" s="2">
        <v>942.54998779296795</v>
      </c>
      <c r="O103" s="2">
        <v>81.400001525878906</v>
      </c>
      <c r="P103" s="2">
        <v>190.875</v>
      </c>
      <c r="Q103" s="2">
        <v>426.39999389648398</v>
      </c>
      <c r="R103" s="2">
        <v>249.82000732421801</v>
      </c>
      <c r="S103" s="2">
        <v>21.799999237060501</v>
      </c>
      <c r="T103" s="2">
        <v>289.20001220703102</v>
      </c>
      <c r="U103" s="2">
        <v>72.025001525878906</v>
      </c>
      <c r="V103" s="2">
        <v>803.95001220703102</v>
      </c>
      <c r="W103" s="2">
        <v>376.125</v>
      </c>
      <c r="X103" s="2">
        <v>460.14999389648398</v>
      </c>
      <c r="Y103" s="2">
        <v>1572.65002441406</v>
      </c>
      <c r="Z103" s="2">
        <v>1600.44995117187</v>
      </c>
      <c r="AA103" s="2">
        <v>1068.59997558593</v>
      </c>
      <c r="AB103" s="2">
        <v>620.54998779296795</v>
      </c>
      <c r="AC103" s="2">
        <v>183.92999267578099</v>
      </c>
      <c r="AD103" s="2">
        <v>106.09999847412099</v>
      </c>
      <c r="AE103" s="2">
        <v>1168.5</v>
      </c>
      <c r="AG103" s="2">
        <v>18618.05078125</v>
      </c>
      <c r="AH103" s="2">
        <v>62681.83984375</v>
      </c>
      <c r="AI103" s="2">
        <v>29341.2109375</v>
      </c>
    </row>
    <row r="104" spans="1:35" x14ac:dyDescent="0.3">
      <c r="A104" s="1">
        <v>44895</v>
      </c>
      <c r="B104" s="2">
        <v>79.400001525878906</v>
      </c>
      <c r="C104" s="2">
        <v>1120.69995117187</v>
      </c>
      <c r="D104" s="2">
        <v>3043.39990234375</v>
      </c>
      <c r="E104" s="2">
        <v>74.632583618164006</v>
      </c>
      <c r="F104" s="2">
        <v>387.850006103515</v>
      </c>
      <c r="G104" s="2">
        <v>2299.44995117187</v>
      </c>
      <c r="H104" s="2">
        <v>31.5</v>
      </c>
      <c r="I104" s="2">
        <v>4150.64990234375</v>
      </c>
      <c r="J104" s="2">
        <v>63.369998931884702</v>
      </c>
      <c r="K104" s="2">
        <v>214.14999389648401</v>
      </c>
      <c r="L104" s="2">
        <v>159.05000305175699</v>
      </c>
      <c r="M104" s="2">
        <v>6323.64990234375</v>
      </c>
      <c r="N104" s="2">
        <v>939.5</v>
      </c>
      <c r="O104" s="2">
        <v>82.5</v>
      </c>
      <c r="P104" s="2">
        <v>193.375</v>
      </c>
      <c r="Q104" s="2">
        <v>447.70001220703102</v>
      </c>
      <c r="R104" s="2">
        <v>243.91000366210901</v>
      </c>
      <c r="S104" s="2">
        <v>21.75</v>
      </c>
      <c r="T104" s="2">
        <v>292.975006103515</v>
      </c>
      <c r="U104" s="2">
        <v>71.050003051757798</v>
      </c>
      <c r="V104" s="2">
        <v>811.45001220703102</v>
      </c>
      <c r="W104" s="2">
        <v>379.725006103515</v>
      </c>
      <c r="X104" s="2">
        <v>462.350006103515</v>
      </c>
      <c r="Y104" s="2">
        <v>1574.40002441406</v>
      </c>
      <c r="Z104" s="2">
        <v>1582.44995117187</v>
      </c>
      <c r="AA104" s="2">
        <v>1045.80004882812</v>
      </c>
      <c r="AB104" s="2">
        <v>631.04998779296795</v>
      </c>
      <c r="AC104" s="2">
        <v>180.850006103515</v>
      </c>
      <c r="AD104" s="2">
        <v>107.650001525878</v>
      </c>
      <c r="AE104" s="2">
        <v>1185.05004882812</v>
      </c>
      <c r="AG104" s="2">
        <v>18758.349609375</v>
      </c>
      <c r="AH104" s="2">
        <v>63099.6484375</v>
      </c>
      <c r="AI104" s="2">
        <v>29519.609375</v>
      </c>
    </row>
    <row r="105" spans="1:35" x14ac:dyDescent="0.3">
      <c r="A105" s="1">
        <v>44896</v>
      </c>
      <c r="B105" s="2">
        <v>79.25</v>
      </c>
      <c r="C105" s="2">
        <v>1132.5</v>
      </c>
      <c r="D105" s="2">
        <v>3060.05004882812</v>
      </c>
      <c r="E105" s="2">
        <v>77.365890502929602</v>
      </c>
      <c r="F105" s="2">
        <v>435.04998779296801</v>
      </c>
      <c r="G105" s="2">
        <v>2276.5</v>
      </c>
      <c r="H105" s="2">
        <v>33.325000762939403</v>
      </c>
      <c r="I105" s="2">
        <v>3932.05004882812</v>
      </c>
      <c r="J105" s="2">
        <v>64.349998474121094</v>
      </c>
      <c r="K105" s="2">
        <v>212.05000305175699</v>
      </c>
      <c r="L105" s="2">
        <v>160.759994506835</v>
      </c>
      <c r="M105" s="2">
        <v>6361.25</v>
      </c>
      <c r="N105" s="2">
        <v>960.5</v>
      </c>
      <c r="O105" s="2">
        <v>83.599998474121094</v>
      </c>
      <c r="P105" s="2">
        <v>195.850006103515</v>
      </c>
      <c r="Q105" s="2">
        <v>425.5</v>
      </c>
      <c r="R105" s="2">
        <v>249.97999572753901</v>
      </c>
      <c r="S105" s="2">
        <v>21.899999618530199</v>
      </c>
      <c r="T105" s="2">
        <v>292.45001220703102</v>
      </c>
      <c r="U105" s="2">
        <v>71.559997558593693</v>
      </c>
      <c r="V105" s="2">
        <v>822.45001220703102</v>
      </c>
      <c r="W105" s="2">
        <v>381.475006103515</v>
      </c>
      <c r="X105" s="2">
        <v>463.20001220703102</v>
      </c>
      <c r="Y105" s="2">
        <v>1618.75</v>
      </c>
      <c r="Z105" s="2">
        <v>1598.75</v>
      </c>
      <c r="AA105" s="2">
        <v>1061.90002441406</v>
      </c>
      <c r="AB105" s="2">
        <v>631.09997558593705</v>
      </c>
      <c r="AC105" s="2">
        <v>185.49000549316401</v>
      </c>
      <c r="AD105" s="2">
        <v>110.75</v>
      </c>
      <c r="AE105" s="2">
        <v>1182.75</v>
      </c>
      <c r="AG105" s="2">
        <v>18812.5</v>
      </c>
      <c r="AH105" s="2">
        <v>63284.19140625</v>
      </c>
      <c r="AI105" s="2">
        <v>29704.91015625</v>
      </c>
    </row>
    <row r="106" spans="1:35" x14ac:dyDescent="0.3">
      <c r="A106" s="1">
        <v>44897</v>
      </c>
      <c r="B106" s="2">
        <v>80.550003051757798</v>
      </c>
      <c r="C106" s="2">
        <v>1186.75</v>
      </c>
      <c r="D106" s="2">
        <v>2993.30004882812</v>
      </c>
      <c r="E106" s="2">
        <v>77.632553100585895</v>
      </c>
      <c r="F106" s="2">
        <v>436.600006103515</v>
      </c>
      <c r="G106" s="2">
        <v>2276.89990234375</v>
      </c>
      <c r="H106" s="2">
        <v>32.150001525878899</v>
      </c>
      <c r="I106" s="2">
        <v>4155.85009765625</v>
      </c>
      <c r="J106" s="2">
        <v>66.400001525878906</v>
      </c>
      <c r="K106" s="2">
        <v>212.350006103515</v>
      </c>
      <c r="L106" s="2">
        <v>163.75</v>
      </c>
      <c r="M106" s="2">
        <v>6315.10009765625</v>
      </c>
      <c r="N106" s="2">
        <v>959.25</v>
      </c>
      <c r="O106" s="2">
        <v>84.099998474121094</v>
      </c>
      <c r="P106" s="2">
        <v>192.625</v>
      </c>
      <c r="Q106" s="2">
        <v>414.39999389648398</v>
      </c>
      <c r="R106" s="2">
        <v>249.13000488281199</v>
      </c>
      <c r="S106" s="2">
        <v>21.850000381469702</v>
      </c>
      <c r="T106" s="2">
        <v>292.29998779296801</v>
      </c>
      <c r="U106" s="2">
        <v>76.294998168945298</v>
      </c>
      <c r="V106" s="2">
        <v>824.90002441406205</v>
      </c>
      <c r="W106" s="2">
        <v>390.475006103515</v>
      </c>
      <c r="X106" s="2">
        <v>468</v>
      </c>
      <c r="Y106" s="2">
        <v>1614.55004882812</v>
      </c>
      <c r="Z106" s="2">
        <v>1566.80004882812</v>
      </c>
      <c r="AA106" s="2">
        <v>1054.25</v>
      </c>
      <c r="AB106" s="2">
        <v>639.65002441406205</v>
      </c>
      <c r="AC106" s="2">
        <v>183.18499755859301</v>
      </c>
      <c r="AD106" s="2">
        <v>112</v>
      </c>
      <c r="AE106" s="2">
        <v>1203.75</v>
      </c>
      <c r="AG106" s="2">
        <v>18696.099609375</v>
      </c>
      <c r="AH106" s="2">
        <v>62868.5</v>
      </c>
      <c r="AI106" s="2">
        <v>29911.7890625</v>
      </c>
    </row>
    <row r="107" spans="1:35" x14ac:dyDescent="0.3">
      <c r="A107" s="1">
        <v>44900</v>
      </c>
      <c r="B107" s="2">
        <v>80.5</v>
      </c>
      <c r="C107" s="2">
        <v>1141.75</v>
      </c>
      <c r="D107" s="2">
        <v>2930.44995117187</v>
      </c>
      <c r="E107" s="2">
        <v>77.265892028808594</v>
      </c>
      <c r="F107" s="2">
        <v>438.95001220703102</v>
      </c>
      <c r="G107" s="2">
        <v>2297.35009765625</v>
      </c>
      <c r="H107" s="2">
        <v>30.625</v>
      </c>
      <c r="I107" s="2">
        <v>4196</v>
      </c>
      <c r="J107" s="2">
        <v>66.800003051757798</v>
      </c>
      <c r="K107" s="2">
        <v>215.25</v>
      </c>
      <c r="L107" s="2">
        <v>159.97000122070301</v>
      </c>
      <c r="M107" s="2">
        <v>6333.2998046875</v>
      </c>
      <c r="N107" s="2">
        <v>951.5</v>
      </c>
      <c r="O107" s="2">
        <v>83.849998474121094</v>
      </c>
      <c r="P107" s="2">
        <v>201.225006103515</v>
      </c>
      <c r="Q107" s="2">
        <v>393.89999389648398</v>
      </c>
      <c r="R107" s="2">
        <v>258.23001098632801</v>
      </c>
      <c r="S107" s="2">
        <v>22.049999237060501</v>
      </c>
      <c r="T107" s="2">
        <v>294.42498779296801</v>
      </c>
      <c r="U107" s="2">
        <v>77.394996643066406</v>
      </c>
      <c r="V107" s="2">
        <v>837.15002441406205</v>
      </c>
      <c r="W107" s="2">
        <v>397.875</v>
      </c>
      <c r="X107" s="2">
        <v>461.75</v>
      </c>
      <c r="Y107" s="2">
        <v>1655.40002441406</v>
      </c>
      <c r="Z107" s="2">
        <v>1574.44995117187</v>
      </c>
      <c r="AA107" s="2">
        <v>1040.15002441406</v>
      </c>
      <c r="AB107" s="2">
        <v>640.95001220703102</v>
      </c>
      <c r="AC107" s="2">
        <v>184.009994506835</v>
      </c>
      <c r="AD107" s="2">
        <v>115.84999847412099</v>
      </c>
      <c r="AE107" s="2">
        <v>1218.15002441406</v>
      </c>
      <c r="AG107" s="2">
        <v>18701.05078125</v>
      </c>
      <c r="AH107" s="2">
        <v>62834.6015625</v>
      </c>
      <c r="AI107" s="2">
        <v>29986.30078125</v>
      </c>
    </row>
    <row r="108" spans="1:35" x14ac:dyDescent="0.3">
      <c r="A108" s="1">
        <v>44901</v>
      </c>
      <c r="B108" s="2">
        <v>79.949996948242102</v>
      </c>
      <c r="C108" s="2">
        <v>1116.69995117187</v>
      </c>
      <c r="D108" s="2">
        <v>2890.35009765625</v>
      </c>
      <c r="E108" s="2">
        <v>76.565902709960895</v>
      </c>
      <c r="F108" s="2">
        <v>432.75</v>
      </c>
      <c r="G108" s="2">
        <v>2273.14990234375</v>
      </c>
      <c r="H108" s="2">
        <v>27.975000381469702</v>
      </c>
      <c r="I108" s="2">
        <v>4199.64990234375</v>
      </c>
      <c r="J108" s="2">
        <v>66.379997253417898</v>
      </c>
      <c r="K108" s="2">
        <v>218.44999694824199</v>
      </c>
      <c r="L108" s="2">
        <v>156.919998168945</v>
      </c>
      <c r="M108" s="2">
        <v>6358.7001953125</v>
      </c>
      <c r="N108" s="2">
        <v>958.09997558593705</v>
      </c>
      <c r="O108" s="2">
        <v>83.900001525878906</v>
      </c>
      <c r="P108" s="2">
        <v>199.25</v>
      </c>
      <c r="Q108" s="2">
        <v>374.25</v>
      </c>
      <c r="R108" s="2">
        <v>255.82000732421801</v>
      </c>
      <c r="S108" s="2">
        <v>22.4500007629394</v>
      </c>
      <c r="T108" s="2">
        <v>296.350006103515</v>
      </c>
      <c r="U108" s="2">
        <v>76.964996337890597</v>
      </c>
      <c r="V108" s="2">
        <v>823.29998779296795</v>
      </c>
      <c r="W108" s="2">
        <v>395.89999389648398</v>
      </c>
      <c r="X108" s="2">
        <v>459.600006103515</v>
      </c>
      <c r="Y108" s="2">
        <v>1618.09997558593</v>
      </c>
      <c r="Z108" s="2">
        <v>1564.94995117187</v>
      </c>
      <c r="AA108" s="2">
        <v>1020.09997558593</v>
      </c>
      <c r="AB108" s="2">
        <v>641.29998779296795</v>
      </c>
      <c r="AC108" s="2">
        <v>182.25500488281199</v>
      </c>
      <c r="AD108" s="2">
        <v>112.949996948242</v>
      </c>
      <c r="AE108" s="2">
        <v>1180</v>
      </c>
      <c r="AG108" s="2">
        <v>18642.75</v>
      </c>
      <c r="AH108" s="2">
        <v>62626.359375</v>
      </c>
      <c r="AI108" s="2">
        <v>29889.83984375</v>
      </c>
    </row>
    <row r="109" spans="1:35" x14ac:dyDescent="0.3">
      <c r="A109" s="1">
        <v>44902</v>
      </c>
      <c r="B109" s="2">
        <v>80.400001525878906</v>
      </c>
      <c r="C109" s="2">
        <v>1142.80004882812</v>
      </c>
      <c r="D109" s="2">
        <v>2869.60009765625</v>
      </c>
      <c r="E109" s="2">
        <v>75.765907287597599</v>
      </c>
      <c r="F109" s="2">
        <v>424.64999389648398</v>
      </c>
      <c r="G109" s="2">
        <v>2255.14990234375</v>
      </c>
      <c r="H109" s="2">
        <v>28.475000381469702</v>
      </c>
      <c r="I109" s="2">
        <v>4199.75</v>
      </c>
      <c r="J109" s="2">
        <v>66.059997558593693</v>
      </c>
      <c r="K109" s="2">
        <v>216.19999694824199</v>
      </c>
      <c r="L109" s="2">
        <v>158.13999938964801</v>
      </c>
      <c r="M109" s="2">
        <v>6318.0498046875</v>
      </c>
      <c r="N109" s="2">
        <v>950.59997558593705</v>
      </c>
      <c r="O109" s="2">
        <v>84.25</v>
      </c>
      <c r="P109" s="2">
        <v>195.92500305175699</v>
      </c>
      <c r="Q109" s="2">
        <v>357.39999389648398</v>
      </c>
      <c r="R109" s="2">
        <v>256.41000366210898</v>
      </c>
      <c r="S109" s="2">
        <v>22.049999237060501</v>
      </c>
      <c r="T109" s="2">
        <v>292.225006103515</v>
      </c>
      <c r="U109" s="2">
        <v>74.434997558593693</v>
      </c>
      <c r="V109" s="2">
        <v>823.90002441406205</v>
      </c>
      <c r="W109" s="2">
        <v>394.875</v>
      </c>
      <c r="X109" s="2">
        <v>457.850006103515</v>
      </c>
      <c r="Y109" s="2">
        <v>1616.55004882812</v>
      </c>
      <c r="Z109" s="2">
        <v>1570</v>
      </c>
      <c r="AA109" s="2">
        <v>997.45001220703102</v>
      </c>
      <c r="AB109" s="2">
        <v>645.84997558593705</v>
      </c>
      <c r="AC109" s="2">
        <v>181.975006103515</v>
      </c>
      <c r="AD109" s="2">
        <v>111.199996948242</v>
      </c>
      <c r="AE109" s="2">
        <v>1155.84997558593</v>
      </c>
      <c r="AG109" s="2">
        <v>18560.5</v>
      </c>
      <c r="AH109" s="2">
        <v>62410.6796875</v>
      </c>
      <c r="AI109" s="2">
        <v>29759.7890625</v>
      </c>
    </row>
    <row r="110" spans="1:35" x14ac:dyDescent="0.3">
      <c r="A110" s="1">
        <v>44903</v>
      </c>
      <c r="B110" s="2">
        <v>78.699996948242102</v>
      </c>
      <c r="C110" s="2">
        <v>1150.30004882812</v>
      </c>
      <c r="D110" s="2">
        <v>2878.14990234375</v>
      </c>
      <c r="E110" s="2">
        <v>75.832572937011705</v>
      </c>
      <c r="F110" s="2">
        <v>466.600006103515</v>
      </c>
      <c r="G110" s="2">
        <v>2204.25</v>
      </c>
      <c r="H110" s="2">
        <v>27.225000381469702</v>
      </c>
      <c r="I110" s="2">
        <v>4196.35009765625</v>
      </c>
      <c r="J110" s="2">
        <v>68.360000610351506</v>
      </c>
      <c r="K110" s="2">
        <v>216.19999694824199</v>
      </c>
      <c r="L110" s="2">
        <v>156.14999389648401</v>
      </c>
      <c r="M110" s="2">
        <v>6290.4501953125</v>
      </c>
      <c r="N110" s="2">
        <v>958.95001220703102</v>
      </c>
      <c r="O110" s="2">
        <v>85.5</v>
      </c>
      <c r="P110" s="2">
        <v>196.82499694824199</v>
      </c>
      <c r="Q110" s="2">
        <v>339.54998779296801</v>
      </c>
      <c r="R110" s="2">
        <v>253.71000671386699</v>
      </c>
      <c r="S110" s="2">
        <v>22.049999237060501</v>
      </c>
      <c r="T110" s="2">
        <v>296</v>
      </c>
      <c r="U110" s="2">
        <v>73.599998474121094</v>
      </c>
      <c r="V110" s="2">
        <v>819.90002441406205</v>
      </c>
      <c r="W110" s="2">
        <v>391</v>
      </c>
      <c r="X110" s="2">
        <v>467.64999389648398</v>
      </c>
      <c r="Y110" s="2">
        <v>1629.75</v>
      </c>
      <c r="Z110" s="2">
        <v>1560.5</v>
      </c>
      <c r="AA110" s="2">
        <v>1012.65002441406</v>
      </c>
      <c r="AB110" s="2">
        <v>638.25</v>
      </c>
      <c r="AC110" s="2">
        <v>185.97999572753901</v>
      </c>
      <c r="AD110" s="2">
        <v>111.84999847412099</v>
      </c>
      <c r="AE110" s="2">
        <v>1151.30004882812</v>
      </c>
      <c r="AG110" s="2">
        <v>18609.349609375</v>
      </c>
      <c r="AH110" s="2">
        <v>62570.6796875</v>
      </c>
      <c r="AI110" s="2">
        <v>29855.7890625</v>
      </c>
    </row>
    <row r="111" spans="1:35" x14ac:dyDescent="0.3">
      <c r="A111" s="1">
        <v>44904</v>
      </c>
      <c r="B111" s="2">
        <v>78.849998474121094</v>
      </c>
      <c r="C111" s="2">
        <v>1164.30004882812</v>
      </c>
      <c r="D111" s="2">
        <v>2845</v>
      </c>
      <c r="E111" s="2">
        <v>74.499252319335895</v>
      </c>
      <c r="F111" s="2">
        <v>458.850006103515</v>
      </c>
      <c r="G111" s="2">
        <v>2210.44995117187</v>
      </c>
      <c r="H111" s="2">
        <v>26.25</v>
      </c>
      <c r="I111" s="2">
        <v>4032.44995117187</v>
      </c>
      <c r="J111" s="2">
        <v>68.680000305175696</v>
      </c>
      <c r="K111" s="2">
        <v>220.55000305175699</v>
      </c>
      <c r="L111" s="2">
        <v>155.89999389648401</v>
      </c>
      <c r="M111" s="2">
        <v>6267.10009765625</v>
      </c>
      <c r="N111" s="2">
        <v>950.40002441406205</v>
      </c>
      <c r="O111" s="2">
        <v>84</v>
      </c>
      <c r="P111" s="2">
        <v>191.52499389648401</v>
      </c>
      <c r="Q111" s="2">
        <v>330.95001220703102</v>
      </c>
      <c r="R111" s="2">
        <v>263.54000854492102</v>
      </c>
      <c r="S111" s="2">
        <v>21.75</v>
      </c>
      <c r="T111" s="2">
        <v>297.25</v>
      </c>
      <c r="U111" s="2">
        <v>72.589996337890597</v>
      </c>
      <c r="V111" s="2">
        <v>806</v>
      </c>
      <c r="W111" s="2">
        <v>383.57501220703102</v>
      </c>
      <c r="X111" s="2">
        <v>468.850006103515</v>
      </c>
      <c r="Y111" s="2">
        <v>1608.65002441406</v>
      </c>
      <c r="Z111" s="2">
        <v>1546.25</v>
      </c>
      <c r="AA111" s="2">
        <v>1002.84997558593</v>
      </c>
      <c r="AB111" s="2">
        <v>619.54998779296795</v>
      </c>
      <c r="AC111" s="2">
        <v>182.72999572753901</v>
      </c>
      <c r="AD111" s="2">
        <v>110.449996948242</v>
      </c>
      <c r="AE111" s="2">
        <v>1150.75</v>
      </c>
      <c r="AG111" s="2">
        <v>18496.599609375</v>
      </c>
      <c r="AH111" s="2">
        <v>62181.671875</v>
      </c>
      <c r="AI111" s="2">
        <v>29558.560546875</v>
      </c>
    </row>
    <row r="112" spans="1:35" x14ac:dyDescent="0.3">
      <c r="A112" s="1">
        <v>44907</v>
      </c>
      <c r="B112" s="2">
        <v>78.699996948242102</v>
      </c>
      <c r="C112" s="2">
        <v>1143.65002441406</v>
      </c>
      <c r="D112" s="2">
        <v>2830.80004882812</v>
      </c>
      <c r="E112" s="2">
        <v>74.799247741699205</v>
      </c>
      <c r="F112" s="2">
        <v>483.54998779296801</v>
      </c>
      <c r="G112" s="2">
        <v>2194.64990234375</v>
      </c>
      <c r="H112" s="2">
        <v>27.5</v>
      </c>
      <c r="I112" s="2">
        <v>3980.75</v>
      </c>
      <c r="J112" s="2">
        <v>70.919998168945298</v>
      </c>
      <c r="K112" s="2">
        <v>218.39999389648401</v>
      </c>
      <c r="L112" s="2">
        <v>155.47000122070301</v>
      </c>
      <c r="M112" s="2">
        <v>6290.85009765625</v>
      </c>
      <c r="N112" s="2">
        <v>939.54998779296795</v>
      </c>
      <c r="O112" s="2">
        <v>83.400001525878906</v>
      </c>
      <c r="P112" s="2">
        <v>188.75</v>
      </c>
      <c r="Q112" s="2">
        <v>347.45001220703102</v>
      </c>
      <c r="R112" s="2">
        <v>266.95001220703102</v>
      </c>
      <c r="S112" s="2">
        <v>21.9500007629394</v>
      </c>
      <c r="T112" s="2">
        <v>290.25</v>
      </c>
      <c r="U112" s="2">
        <v>72.305000305175696</v>
      </c>
      <c r="V112" s="2">
        <v>823.70001220703102</v>
      </c>
      <c r="W112" s="2">
        <v>382.82501220703102</v>
      </c>
      <c r="X112" s="2">
        <v>461.600006103515</v>
      </c>
      <c r="Y112" s="2">
        <v>1620.09997558593</v>
      </c>
      <c r="Z112" s="2">
        <v>1555</v>
      </c>
      <c r="AA112" s="2">
        <v>1003.15002441406</v>
      </c>
      <c r="AB112" s="2">
        <v>614.84997558593705</v>
      </c>
      <c r="AC112" s="2">
        <v>183.64999389648401</v>
      </c>
      <c r="AD112" s="2">
        <v>111.699996948242</v>
      </c>
      <c r="AE112" s="2">
        <v>1144.75</v>
      </c>
      <c r="AG112" s="2">
        <v>18497.150390625</v>
      </c>
      <c r="AH112" s="2">
        <v>62130.5703125</v>
      </c>
      <c r="AI112" s="2">
        <v>29665.369140625</v>
      </c>
    </row>
    <row r="113" spans="1:35" x14ac:dyDescent="0.3">
      <c r="A113" s="1">
        <v>44908</v>
      </c>
      <c r="B113" s="2">
        <v>78.849998474121094</v>
      </c>
      <c r="C113" s="2">
        <v>1151.09997558593</v>
      </c>
      <c r="D113" s="2">
        <v>2850.14990234375</v>
      </c>
      <c r="E113" s="2">
        <v>75.332580566406193</v>
      </c>
      <c r="F113" s="2">
        <v>473.100006103515</v>
      </c>
      <c r="G113" s="2">
        <v>2191.69995117187</v>
      </c>
      <c r="H113" s="2">
        <v>27.875</v>
      </c>
      <c r="I113" s="2">
        <v>4076.55004882812</v>
      </c>
      <c r="J113" s="2">
        <v>70.989997863769503</v>
      </c>
      <c r="K113" s="2">
        <v>218</v>
      </c>
      <c r="L113" s="2">
        <v>159.72000122070301</v>
      </c>
      <c r="M113" s="2">
        <v>6249.10009765625</v>
      </c>
      <c r="N113" s="2">
        <v>940.95001220703102</v>
      </c>
      <c r="O113" s="2">
        <v>83.25</v>
      </c>
      <c r="P113" s="2">
        <v>186.625</v>
      </c>
      <c r="Q113" s="2">
        <v>357</v>
      </c>
      <c r="R113" s="2">
        <v>264.489990234375</v>
      </c>
      <c r="S113" s="2">
        <v>21.649999618530199</v>
      </c>
      <c r="T113" s="2">
        <v>287.100006103515</v>
      </c>
      <c r="U113" s="2">
        <v>71.535003662109304</v>
      </c>
      <c r="V113" s="2">
        <v>821.65002441406205</v>
      </c>
      <c r="W113" s="2">
        <v>380.75</v>
      </c>
      <c r="X113" s="2">
        <v>464.29998779296801</v>
      </c>
      <c r="Y113" s="2">
        <v>1608.94995117187</v>
      </c>
      <c r="Z113" s="2">
        <v>1550.55004882812</v>
      </c>
      <c r="AA113" s="2">
        <v>1000.04998779296</v>
      </c>
      <c r="AB113" s="2">
        <v>615.15002441406205</v>
      </c>
      <c r="AC113" s="2">
        <v>182.56500244140599</v>
      </c>
      <c r="AD113" s="2">
        <v>111.199996948242</v>
      </c>
      <c r="AE113" s="2">
        <v>1217.84997558593</v>
      </c>
      <c r="AG113" s="2">
        <v>18608</v>
      </c>
      <c r="AH113" s="2">
        <v>62533.30078125</v>
      </c>
      <c r="AI113" s="2">
        <v>29785.490234375</v>
      </c>
    </row>
    <row r="114" spans="1:35" x14ac:dyDescent="0.3">
      <c r="A114" s="1">
        <v>44909</v>
      </c>
      <c r="B114" s="2">
        <v>78.699996948242102</v>
      </c>
      <c r="C114" s="2">
        <v>1167.05004882812</v>
      </c>
      <c r="D114" s="2">
        <v>2860.10009765625</v>
      </c>
      <c r="E114" s="2">
        <v>74.899246215820298</v>
      </c>
      <c r="F114" s="2">
        <v>474.25</v>
      </c>
      <c r="G114" s="2">
        <v>2187.94995117187</v>
      </c>
      <c r="H114" s="2">
        <v>28.024999618530199</v>
      </c>
      <c r="I114" s="2">
        <v>4119.5</v>
      </c>
      <c r="J114" s="2">
        <v>72.860000610351506</v>
      </c>
      <c r="K114" s="2">
        <v>215.350006103515</v>
      </c>
      <c r="L114" s="2">
        <v>157.89999389648401</v>
      </c>
      <c r="M114" s="2">
        <v>6277.14990234375</v>
      </c>
      <c r="N114" s="2">
        <v>947.34997558593705</v>
      </c>
      <c r="O114" s="2">
        <v>83.099998474121094</v>
      </c>
      <c r="P114" s="2">
        <v>186.125</v>
      </c>
      <c r="Q114" s="2">
        <v>374.850006103515</v>
      </c>
      <c r="R114" s="2">
        <v>262.45999145507801</v>
      </c>
      <c r="S114" s="2">
        <v>21.75</v>
      </c>
      <c r="T114" s="2">
        <v>280.39999389648398</v>
      </c>
      <c r="U114" s="2">
        <v>71.720001220703097</v>
      </c>
      <c r="V114" s="2">
        <v>827.25</v>
      </c>
      <c r="W114" s="2">
        <v>378.89999389648398</v>
      </c>
      <c r="X114" s="2">
        <v>478.75</v>
      </c>
      <c r="Y114" s="2">
        <v>1628.09997558593</v>
      </c>
      <c r="Z114" s="2">
        <v>1547.90002441406</v>
      </c>
      <c r="AA114" s="2">
        <v>1014.20001220703</v>
      </c>
      <c r="AB114" s="2">
        <v>614.95001220703102</v>
      </c>
      <c r="AC114" s="2">
        <v>182.13000488281199</v>
      </c>
      <c r="AD114" s="2">
        <v>113.050003051757</v>
      </c>
      <c r="AE114" s="2">
        <v>1182.55004882812</v>
      </c>
      <c r="AG114" s="2">
        <v>18660.30078125</v>
      </c>
      <c r="AH114" s="2">
        <v>62677.91015625</v>
      </c>
      <c r="AI114" s="2">
        <v>29986.619140625</v>
      </c>
    </row>
    <row r="115" spans="1:35" x14ac:dyDescent="0.3">
      <c r="A115" s="1">
        <v>44910</v>
      </c>
      <c r="B115" s="2">
        <v>77.25</v>
      </c>
      <c r="C115" s="2">
        <v>1158.09997558593</v>
      </c>
      <c r="D115" s="2">
        <v>2813.35009765625</v>
      </c>
      <c r="E115" s="2">
        <v>75.432579040527301</v>
      </c>
      <c r="F115" s="2">
        <v>475.79998779296801</v>
      </c>
      <c r="G115" s="2">
        <v>2180.60009765625</v>
      </c>
      <c r="H115" s="2">
        <v>27.774999618530199</v>
      </c>
      <c r="I115" s="2">
        <v>4116.9501953125</v>
      </c>
      <c r="J115" s="2">
        <v>71.860000610351506</v>
      </c>
      <c r="K115" s="2">
        <v>213.75</v>
      </c>
      <c r="L115" s="2">
        <v>153.99000549316401</v>
      </c>
      <c r="M115" s="2">
        <v>6196.35009765625</v>
      </c>
      <c r="N115" s="2">
        <v>957.65002441406205</v>
      </c>
      <c r="O115" s="2">
        <v>82.699996948242102</v>
      </c>
      <c r="P115" s="2">
        <v>183.875</v>
      </c>
      <c r="Q115" s="2">
        <v>366.70001220703102</v>
      </c>
      <c r="R115" s="2">
        <v>263.260009765625</v>
      </c>
      <c r="S115" s="2">
        <v>21.549999237060501</v>
      </c>
      <c r="T115" s="2">
        <v>270.52499389648398</v>
      </c>
      <c r="U115" s="2">
        <v>71.010002136230398</v>
      </c>
      <c r="V115" s="2">
        <v>826.04998779296795</v>
      </c>
      <c r="W115" s="2">
        <v>378.125</v>
      </c>
      <c r="X115" s="2">
        <v>479.850006103515</v>
      </c>
      <c r="Y115" s="2">
        <v>1598.65002441406</v>
      </c>
      <c r="Z115" s="2">
        <v>1546.40002441406</v>
      </c>
      <c r="AA115" s="2">
        <v>1020.15002441406</v>
      </c>
      <c r="AB115" s="2">
        <v>612.09997558593705</v>
      </c>
      <c r="AC115" s="2">
        <v>182.509994506835</v>
      </c>
      <c r="AD115" s="2">
        <v>110.949996948242</v>
      </c>
      <c r="AE115" s="2">
        <v>1171.5</v>
      </c>
      <c r="AG115" s="2">
        <v>18414.900390625</v>
      </c>
      <c r="AH115" s="2">
        <v>61799.03125</v>
      </c>
      <c r="AI115" s="2">
        <v>29802.2890625</v>
      </c>
    </row>
    <row r="116" spans="1:35" x14ac:dyDescent="0.3">
      <c r="A116" s="1">
        <v>44911</v>
      </c>
      <c r="B116" s="2">
        <v>76.5</v>
      </c>
      <c r="C116" s="2">
        <v>1114.25</v>
      </c>
      <c r="D116" s="2">
        <v>2866.25</v>
      </c>
      <c r="E116" s="2">
        <v>73.332595825195298</v>
      </c>
      <c r="F116" s="2">
        <v>461.850006103515</v>
      </c>
      <c r="G116" s="2">
        <v>2206.35009765625</v>
      </c>
      <c r="H116" s="2">
        <v>27.774999618530199</v>
      </c>
      <c r="I116" s="2">
        <v>4156.89990234375</v>
      </c>
      <c r="J116" s="2">
        <v>70.739997863769503</v>
      </c>
      <c r="K116" s="2">
        <v>212.100006103515</v>
      </c>
      <c r="L116" s="2">
        <v>153.509994506835</v>
      </c>
      <c r="M116" s="2">
        <v>6247.25</v>
      </c>
      <c r="N116" s="2">
        <v>949.59997558593705</v>
      </c>
      <c r="O116" s="2">
        <v>83.199996948242102</v>
      </c>
      <c r="P116" s="2">
        <v>177.850006103515</v>
      </c>
      <c r="Q116" s="2">
        <v>363.70001220703102</v>
      </c>
      <c r="R116" s="2">
        <v>259.79000854492102</v>
      </c>
      <c r="S116" s="2">
        <v>21.4500007629394</v>
      </c>
      <c r="T116" s="2">
        <v>266.02499389648398</v>
      </c>
      <c r="U116" s="2">
        <v>69.339996337890597</v>
      </c>
      <c r="V116" s="2">
        <v>825.75</v>
      </c>
      <c r="W116" s="2">
        <v>378.17498779296801</v>
      </c>
      <c r="X116" s="2">
        <v>480.39999389648398</v>
      </c>
      <c r="Y116" s="2">
        <v>1583.75</v>
      </c>
      <c r="Z116" s="2">
        <v>1531.25</v>
      </c>
      <c r="AA116" s="2">
        <v>999.84997558593705</v>
      </c>
      <c r="AB116" s="2">
        <v>609.90002441406205</v>
      </c>
      <c r="AC116" s="2">
        <v>181.80499267578099</v>
      </c>
      <c r="AD116" s="2">
        <v>111.050003051757</v>
      </c>
      <c r="AE116" s="2">
        <v>1150.55004882812</v>
      </c>
      <c r="AG116" s="2">
        <v>18269</v>
      </c>
      <c r="AH116" s="2">
        <v>61337.80859375</v>
      </c>
      <c r="AI116" s="2">
        <v>29516.75</v>
      </c>
    </row>
    <row r="117" spans="1:35" x14ac:dyDescent="0.3">
      <c r="A117" s="1">
        <v>44914</v>
      </c>
      <c r="B117" s="2">
        <v>76.75</v>
      </c>
      <c r="C117" s="2">
        <v>1120.65002441406</v>
      </c>
      <c r="D117" s="2">
        <v>2867.64990234375</v>
      </c>
      <c r="E117" s="2">
        <v>74.132591247558594</v>
      </c>
      <c r="F117" s="2">
        <v>438.5</v>
      </c>
      <c r="G117" s="2">
        <v>2188.85009765625</v>
      </c>
      <c r="H117" s="2">
        <v>28.149999618530199</v>
      </c>
      <c r="I117" s="2">
        <v>4152.60009765625</v>
      </c>
      <c r="J117" s="2">
        <v>75.889999389648395</v>
      </c>
      <c r="K117" s="2">
        <v>213.30000305175699</v>
      </c>
      <c r="L117" s="2">
        <v>167.27000427246</v>
      </c>
      <c r="M117" s="2">
        <v>6196.5</v>
      </c>
      <c r="N117" s="2">
        <v>1015.04998779296</v>
      </c>
      <c r="O117" s="2">
        <v>82.800003051757798</v>
      </c>
      <c r="P117" s="2">
        <v>179.600006103515</v>
      </c>
      <c r="Q117" s="2">
        <v>368.45001220703102</v>
      </c>
      <c r="R117" s="2">
        <v>257.94000244140602</v>
      </c>
      <c r="S117" s="2">
        <v>21.5</v>
      </c>
      <c r="T117" s="2">
        <v>273.75</v>
      </c>
      <c r="U117" s="2">
        <v>69.779998779296804</v>
      </c>
      <c r="V117" s="2">
        <v>824.45001220703102</v>
      </c>
      <c r="W117" s="2">
        <v>378.850006103515</v>
      </c>
      <c r="X117" s="2">
        <v>473.350006103515</v>
      </c>
      <c r="Y117" s="2">
        <v>1569.69995117187</v>
      </c>
      <c r="Z117" s="2">
        <v>1534.19995117187</v>
      </c>
      <c r="AA117" s="2">
        <v>996.15002441406205</v>
      </c>
      <c r="AB117" s="2">
        <v>610.15002441406205</v>
      </c>
      <c r="AC117" s="2">
        <v>181.75</v>
      </c>
      <c r="AD117" s="2">
        <v>111.800003051757</v>
      </c>
      <c r="AE117" s="2">
        <v>1143.15002441406</v>
      </c>
      <c r="AG117" s="2">
        <v>18420.44921875</v>
      </c>
      <c r="AH117" s="2">
        <v>61806.19140625</v>
      </c>
      <c r="AI117" s="2">
        <v>29602.029296875</v>
      </c>
    </row>
    <row r="118" spans="1:35" x14ac:dyDescent="0.3">
      <c r="A118" s="1">
        <v>44915</v>
      </c>
      <c r="B118" s="2">
        <v>77</v>
      </c>
      <c r="C118" s="2">
        <v>1139.34997558593</v>
      </c>
      <c r="D118" s="2">
        <v>2845.39990234375</v>
      </c>
      <c r="E118" s="2">
        <v>74.265922546386705</v>
      </c>
      <c r="F118" s="2">
        <v>479.600006103515</v>
      </c>
      <c r="G118" s="2">
        <v>2193.85009765625</v>
      </c>
      <c r="H118" s="2">
        <v>27.774999618530199</v>
      </c>
      <c r="I118" s="2">
        <v>4185.7998046875</v>
      </c>
      <c r="J118" s="2">
        <v>73.540000915527301</v>
      </c>
      <c r="K118" s="2">
        <v>214.94999694824199</v>
      </c>
      <c r="L118" s="2">
        <v>163.100006103515</v>
      </c>
      <c r="M118" s="2">
        <v>6210</v>
      </c>
      <c r="N118" s="2">
        <v>1006.54998779296</v>
      </c>
      <c r="O118" s="2">
        <v>85.199996948242102</v>
      </c>
      <c r="P118" s="2">
        <v>178.375</v>
      </c>
      <c r="Q118" s="2">
        <v>359.20001220703102</v>
      </c>
      <c r="R118" s="2">
        <v>257.97000122070301</v>
      </c>
      <c r="S118" s="2">
        <v>21.7000007629394</v>
      </c>
      <c r="T118" s="2">
        <v>265.75</v>
      </c>
      <c r="U118" s="2">
        <v>70.580001831054602</v>
      </c>
      <c r="V118" s="2">
        <v>823.34997558593705</v>
      </c>
      <c r="W118" s="2">
        <v>382.82501220703102</v>
      </c>
      <c r="X118" s="2">
        <v>475.5</v>
      </c>
      <c r="Y118" s="2">
        <v>1578.94995117187</v>
      </c>
      <c r="Z118" s="2">
        <v>1532.40002441406</v>
      </c>
      <c r="AA118" s="2">
        <v>968.5</v>
      </c>
      <c r="AB118" s="2">
        <v>609.59997558593705</v>
      </c>
      <c r="AC118" s="2">
        <v>182.725006103515</v>
      </c>
      <c r="AD118" s="2">
        <v>110.949996948242</v>
      </c>
      <c r="AE118" s="2">
        <v>1121.80004882812</v>
      </c>
      <c r="AG118" s="2">
        <v>18385.30078125</v>
      </c>
      <c r="AH118" s="2">
        <v>61702.2890625</v>
      </c>
      <c r="AI118" s="2">
        <v>29596.4609375</v>
      </c>
    </row>
    <row r="119" spans="1:35" x14ac:dyDescent="0.3">
      <c r="A119" s="1">
        <v>44916</v>
      </c>
      <c r="B119" s="2">
        <v>76</v>
      </c>
      <c r="C119" s="2">
        <v>1111.25</v>
      </c>
      <c r="D119" s="2">
        <v>2834.80004882812</v>
      </c>
      <c r="E119" s="2">
        <v>72.699272155761705</v>
      </c>
      <c r="F119" s="2">
        <v>453.45001220703102</v>
      </c>
      <c r="G119" s="2">
        <v>2201.44995117187</v>
      </c>
      <c r="H119" s="2">
        <v>26.549999237060501</v>
      </c>
      <c r="I119" s="2">
        <v>4162.0498046875</v>
      </c>
      <c r="J119" s="2">
        <v>68.529998779296804</v>
      </c>
      <c r="K119" s="2">
        <v>220.44999694824199</v>
      </c>
      <c r="L119" s="2">
        <v>156.08999633789</v>
      </c>
      <c r="M119" s="2">
        <v>6178.64990234375</v>
      </c>
      <c r="N119" s="2">
        <v>965.54998779296795</v>
      </c>
      <c r="O119" s="2">
        <v>81.400001525878906</v>
      </c>
      <c r="P119" s="2">
        <v>170.67500305175699</v>
      </c>
      <c r="Q119" s="2">
        <v>341.25</v>
      </c>
      <c r="R119" s="2">
        <v>250.49000549316401</v>
      </c>
      <c r="S119" s="2">
        <v>20.799999237060501</v>
      </c>
      <c r="T119" s="2">
        <v>267.5</v>
      </c>
      <c r="U119" s="2">
        <v>68.644996643066406</v>
      </c>
      <c r="V119" s="2">
        <v>800.65002441406205</v>
      </c>
      <c r="W119" s="2">
        <v>383.95001220703102</v>
      </c>
      <c r="X119" s="2">
        <v>485.75</v>
      </c>
      <c r="Y119" s="2">
        <v>1586.05004882812</v>
      </c>
      <c r="Z119" s="2">
        <v>1503.25</v>
      </c>
      <c r="AA119" s="2">
        <v>927.5</v>
      </c>
      <c r="AB119" s="2">
        <v>700.09997558593705</v>
      </c>
      <c r="AC119" s="2">
        <v>182.41499328613199</v>
      </c>
      <c r="AD119" s="2">
        <v>109.400001525878</v>
      </c>
      <c r="AE119" s="2">
        <v>1120.65002441406</v>
      </c>
      <c r="AG119" s="2">
        <v>18199.099609375</v>
      </c>
      <c r="AH119" s="2">
        <v>61067.23828125</v>
      </c>
      <c r="AI119" s="2">
        <v>28949.9609375</v>
      </c>
    </row>
    <row r="120" spans="1:35" x14ac:dyDescent="0.3">
      <c r="A120" s="1">
        <v>44917</v>
      </c>
      <c r="B120" s="2">
        <v>73.949996948242102</v>
      </c>
      <c r="C120" s="2">
        <v>1061.84997558593</v>
      </c>
      <c r="D120" s="2">
        <v>2755.64990234375</v>
      </c>
      <c r="E120" s="2">
        <v>70.499290466308594</v>
      </c>
      <c r="F120" s="2">
        <v>438.75</v>
      </c>
      <c r="G120" s="2">
        <v>2249.30004882812</v>
      </c>
      <c r="H120" s="2">
        <v>25.600000381469702</v>
      </c>
      <c r="I120" s="2">
        <v>4021.5</v>
      </c>
      <c r="J120" s="2">
        <v>69.309997558593693</v>
      </c>
      <c r="K120" s="2">
        <v>217.94999694824199</v>
      </c>
      <c r="L120" s="2">
        <v>150.97000122070301</v>
      </c>
      <c r="M120" s="2">
        <v>6194.0498046875</v>
      </c>
      <c r="N120" s="2">
        <v>949.95001220703102</v>
      </c>
      <c r="O120" s="2">
        <v>79.300003051757798</v>
      </c>
      <c r="P120" s="2">
        <v>167.80000305175699</v>
      </c>
      <c r="Q120" s="2">
        <v>331.64999389648398</v>
      </c>
      <c r="R120" s="2">
        <v>240.77999877929599</v>
      </c>
      <c r="S120" s="2">
        <v>19.75</v>
      </c>
      <c r="T120" s="2">
        <v>269.79998779296801</v>
      </c>
      <c r="U120" s="2">
        <v>68.584999084472599</v>
      </c>
      <c r="V120" s="2">
        <v>783.25</v>
      </c>
      <c r="W120" s="2">
        <v>380.350006103515</v>
      </c>
      <c r="X120" s="2">
        <v>482.350006103515</v>
      </c>
      <c r="Y120" s="2">
        <v>1552.15002441406</v>
      </c>
      <c r="Z120" s="2">
        <v>1496.25</v>
      </c>
      <c r="AA120" s="2">
        <v>883.29998779296795</v>
      </c>
      <c r="AB120" s="2">
        <v>624.15002441406205</v>
      </c>
      <c r="AC120" s="2">
        <v>179.475006103515</v>
      </c>
      <c r="AD120" s="2">
        <v>107.650001525878</v>
      </c>
      <c r="AE120" s="2">
        <v>1083.30004882812</v>
      </c>
      <c r="AG120" s="2">
        <v>18127.349609375</v>
      </c>
      <c r="AH120" s="2">
        <v>60826.21875</v>
      </c>
      <c r="AI120" s="2">
        <v>28421.51953125</v>
      </c>
    </row>
    <row r="121" spans="1:35" x14ac:dyDescent="0.3">
      <c r="A121" s="1">
        <v>44918</v>
      </c>
      <c r="B121" s="2">
        <v>70.75</v>
      </c>
      <c r="C121" s="2">
        <v>1038.44995117187</v>
      </c>
      <c r="D121" s="2">
        <v>2633.05004882812</v>
      </c>
      <c r="E121" s="2">
        <v>67.632652282714801</v>
      </c>
      <c r="F121" s="2">
        <v>418.100006103515</v>
      </c>
      <c r="G121" s="2">
        <v>2170.44995117187</v>
      </c>
      <c r="H121" s="2">
        <v>22.799999237060501</v>
      </c>
      <c r="I121" s="2">
        <v>3792.10009765625</v>
      </c>
      <c r="J121" s="2">
        <v>63.139999389648402</v>
      </c>
      <c r="K121" s="2">
        <v>215.80000305175699</v>
      </c>
      <c r="L121" s="2">
        <v>142.509994506835</v>
      </c>
      <c r="M121" s="2">
        <v>6127.75</v>
      </c>
      <c r="N121" s="2">
        <v>923.59997558593705</v>
      </c>
      <c r="O121" s="2">
        <v>75.75</v>
      </c>
      <c r="P121" s="2">
        <v>155.625</v>
      </c>
      <c r="Q121" s="2">
        <v>340.600006103515</v>
      </c>
      <c r="R121" s="2">
        <v>227.02000427246</v>
      </c>
      <c r="S121" s="2">
        <v>18.25</v>
      </c>
      <c r="T121" s="2">
        <v>267.32501220703102</v>
      </c>
      <c r="U121" s="2">
        <v>64.559997558593693</v>
      </c>
      <c r="V121" s="2">
        <v>767.65002441406205</v>
      </c>
      <c r="W121" s="2">
        <v>372.17498779296801</v>
      </c>
      <c r="X121" s="2">
        <v>498.20001220703102</v>
      </c>
      <c r="Y121" s="2">
        <v>1533.19995117187</v>
      </c>
      <c r="Z121" s="2">
        <v>1468.65002441406</v>
      </c>
      <c r="AA121" s="2">
        <v>839.15002441406205</v>
      </c>
      <c r="AB121" s="2">
        <v>635.75</v>
      </c>
      <c r="AC121" s="2">
        <v>169.30000305175699</v>
      </c>
      <c r="AD121" s="2">
        <v>102.25</v>
      </c>
      <c r="AE121" s="2">
        <v>1056.09997558593</v>
      </c>
      <c r="AG121" s="2">
        <v>17806.80078125</v>
      </c>
      <c r="AH121" s="2">
        <v>59845.2890625</v>
      </c>
      <c r="AI121" s="2">
        <v>27252.6796875</v>
      </c>
    </row>
    <row r="122" spans="1:35" x14ac:dyDescent="0.3">
      <c r="A122" s="1">
        <v>44921</v>
      </c>
      <c r="B122" s="2">
        <v>72.599998474121094</v>
      </c>
      <c r="C122" s="2">
        <v>1059.30004882812</v>
      </c>
      <c r="D122" s="2">
        <v>2710.39990234375</v>
      </c>
      <c r="E122" s="2">
        <v>70.299293518066406</v>
      </c>
      <c r="F122" s="2">
        <v>453.70001220703102</v>
      </c>
      <c r="G122" s="2">
        <v>2192.5</v>
      </c>
      <c r="H122" s="2">
        <v>27.3250007629394</v>
      </c>
      <c r="I122" s="2">
        <v>3974.44995117187</v>
      </c>
      <c r="J122" s="2">
        <v>67.319999694824205</v>
      </c>
      <c r="K122" s="2">
        <v>217.100006103515</v>
      </c>
      <c r="L122" s="2">
        <v>154.38999938964801</v>
      </c>
      <c r="M122" s="2">
        <v>6208.2998046875</v>
      </c>
      <c r="N122" s="2">
        <v>927.25</v>
      </c>
      <c r="O122" s="2">
        <v>79.050003051757798</v>
      </c>
      <c r="P122" s="2">
        <v>169.17500305175699</v>
      </c>
      <c r="Q122" s="2">
        <v>343.39999389648398</v>
      </c>
      <c r="R122" s="2">
        <v>235.08000183105401</v>
      </c>
      <c r="S122" s="2">
        <v>20</v>
      </c>
      <c r="T122" s="2">
        <v>275.95001220703102</v>
      </c>
      <c r="U122" s="2">
        <v>66.595001220703097</v>
      </c>
      <c r="V122" s="2">
        <v>770.75</v>
      </c>
      <c r="W122" s="2">
        <v>380.92498779296801</v>
      </c>
      <c r="X122" s="2">
        <v>472.20001220703102</v>
      </c>
      <c r="Y122" s="2">
        <v>1540.44995117187</v>
      </c>
      <c r="Z122" s="2">
        <v>1479.44995117187</v>
      </c>
      <c r="AA122" s="2">
        <v>872.75</v>
      </c>
      <c r="AB122" s="2">
        <v>621.70001220703102</v>
      </c>
      <c r="AC122" s="2">
        <v>175.98500061035099</v>
      </c>
      <c r="AD122" s="2">
        <v>105</v>
      </c>
      <c r="AE122" s="2">
        <v>1101.09997558593</v>
      </c>
      <c r="AG122" s="2">
        <v>18014.599609375</v>
      </c>
      <c r="AH122" s="2">
        <v>60566.421875</v>
      </c>
      <c r="AI122" s="2">
        <v>28517.0390625</v>
      </c>
    </row>
    <row r="123" spans="1:35" x14ac:dyDescent="0.3">
      <c r="A123" s="1">
        <v>44922</v>
      </c>
      <c r="B123" s="2">
        <v>73.050003051757798</v>
      </c>
      <c r="C123" s="2">
        <v>1052.69995117187</v>
      </c>
      <c r="D123" s="2">
        <v>2733</v>
      </c>
      <c r="E123" s="2">
        <v>70.965957641601506</v>
      </c>
      <c r="F123" s="2">
        <v>461.89999389648398</v>
      </c>
      <c r="G123" s="2">
        <v>2215.30004882812</v>
      </c>
      <c r="H123" s="2">
        <v>27.524999618530199</v>
      </c>
      <c r="I123" s="2">
        <v>4021.35009765625</v>
      </c>
      <c r="J123" s="2">
        <v>72.629997253417898</v>
      </c>
      <c r="K123" s="2">
        <v>227.14999389648401</v>
      </c>
      <c r="L123" s="2">
        <v>152.5</v>
      </c>
      <c r="M123" s="2">
        <v>6175.5498046875</v>
      </c>
      <c r="N123" s="2">
        <v>973.90002441406205</v>
      </c>
      <c r="O123" s="2">
        <v>80.050003051757798</v>
      </c>
      <c r="P123" s="2">
        <v>165.52499389648401</v>
      </c>
      <c r="Q123" s="2">
        <v>338.64999389648398</v>
      </c>
      <c r="R123" s="2">
        <v>249.759994506835</v>
      </c>
      <c r="S123" s="2">
        <v>20.75</v>
      </c>
      <c r="T123" s="2">
        <v>286.27499389648398</v>
      </c>
      <c r="U123" s="2">
        <v>68.684997558593693</v>
      </c>
      <c r="V123" s="2">
        <v>785.40002441406205</v>
      </c>
      <c r="W123" s="2">
        <v>383.975006103515</v>
      </c>
      <c r="X123" s="2">
        <v>490.20001220703102</v>
      </c>
      <c r="Y123" s="2">
        <v>1548.65002441406</v>
      </c>
      <c r="Z123" s="2">
        <v>1506.94995117187</v>
      </c>
      <c r="AA123" s="2">
        <v>909.79998779296795</v>
      </c>
      <c r="AB123" s="2">
        <v>612.54998779296795</v>
      </c>
      <c r="AC123" s="2">
        <v>186.91499328613199</v>
      </c>
      <c r="AD123" s="2">
        <v>111.150001525878</v>
      </c>
      <c r="AE123" s="2">
        <v>1108.19995117187</v>
      </c>
      <c r="AG123" s="2">
        <v>18132.30078125</v>
      </c>
      <c r="AH123" s="2">
        <v>60927.4296875</v>
      </c>
      <c r="AI123" s="2">
        <v>28645.490234375</v>
      </c>
    </row>
    <row r="124" spans="1:35" x14ac:dyDescent="0.3">
      <c r="A124" s="1">
        <v>44923</v>
      </c>
      <c r="B124" s="2">
        <v>74.050003051757798</v>
      </c>
      <c r="C124" s="2">
        <v>1055.69995117187</v>
      </c>
      <c r="D124" s="2">
        <v>2712.60009765625</v>
      </c>
      <c r="E124" s="2">
        <v>70.965957641601506</v>
      </c>
      <c r="F124" s="2">
        <v>463.14999389648398</v>
      </c>
      <c r="G124" s="2">
        <v>2211.35009765625</v>
      </c>
      <c r="H124" s="2">
        <v>27.600000381469702</v>
      </c>
      <c r="I124" s="2">
        <v>4097.10009765625</v>
      </c>
      <c r="J124" s="2">
        <v>71.459999084472599</v>
      </c>
      <c r="K124" s="2">
        <v>221.05000305175699</v>
      </c>
      <c r="L124" s="2">
        <v>153.55999755859301</v>
      </c>
      <c r="M124" s="2">
        <v>6197.14990234375</v>
      </c>
      <c r="N124" s="2">
        <v>983.75</v>
      </c>
      <c r="O124" s="2">
        <v>80.599998474121094</v>
      </c>
      <c r="P124" s="2">
        <v>166.5</v>
      </c>
      <c r="Q124" s="2">
        <v>331</v>
      </c>
      <c r="R124" s="2">
        <v>248.11000061035099</v>
      </c>
      <c r="S124" s="2">
        <v>20.350000381469702</v>
      </c>
      <c r="T124" s="2">
        <v>284.600006103515</v>
      </c>
      <c r="U124" s="2">
        <v>69.504997253417898</v>
      </c>
      <c r="V124" s="2">
        <v>780.84997558593705</v>
      </c>
      <c r="W124" s="2">
        <v>386.04998779296801</v>
      </c>
      <c r="X124" s="2">
        <v>489.600006103515</v>
      </c>
      <c r="Y124" s="2">
        <v>1559.84997558593</v>
      </c>
      <c r="Z124" s="2">
        <v>1510.15002441406</v>
      </c>
      <c r="AA124" s="2">
        <v>940.90002441406205</v>
      </c>
      <c r="AB124" s="2">
        <v>616.34997558593705</v>
      </c>
      <c r="AC124" s="2">
        <v>184.36000061035099</v>
      </c>
      <c r="AD124" s="2">
        <v>110</v>
      </c>
      <c r="AE124" s="2">
        <v>1105.34997558593</v>
      </c>
      <c r="AG124" s="2">
        <v>18122.5</v>
      </c>
      <c r="AH124" s="2">
        <v>60910.28125</v>
      </c>
      <c r="AI124" s="2">
        <v>28707.419921875</v>
      </c>
    </row>
    <row r="125" spans="1:35" x14ac:dyDescent="0.3">
      <c r="A125" s="1">
        <v>44924</v>
      </c>
      <c r="B125" s="2">
        <v>73.599998474121094</v>
      </c>
      <c r="C125" s="2">
        <v>1116.44995117187</v>
      </c>
      <c r="D125" s="2">
        <v>2705.64990234375</v>
      </c>
      <c r="E125" s="2">
        <v>71.099288940429602</v>
      </c>
      <c r="F125" s="2">
        <v>452.70001220703102</v>
      </c>
      <c r="G125" s="2">
        <v>2209.19995117187</v>
      </c>
      <c r="H125" s="2">
        <v>26.75</v>
      </c>
      <c r="I125" s="2">
        <v>4053.19995117187</v>
      </c>
      <c r="J125" s="2">
        <v>73.849998474121094</v>
      </c>
      <c r="K125" s="2">
        <v>229.850006103515</v>
      </c>
      <c r="L125" s="2">
        <v>154.89999389648401</v>
      </c>
      <c r="M125" s="2">
        <v>6373.89990234375</v>
      </c>
      <c r="N125" s="2">
        <v>1000.65002441406</v>
      </c>
      <c r="O125" s="2">
        <v>80.599998474121094</v>
      </c>
      <c r="P125" s="2">
        <v>169.77499389648401</v>
      </c>
      <c r="Q125" s="2">
        <v>345.25</v>
      </c>
      <c r="R125" s="2">
        <v>248.55000305175699</v>
      </c>
      <c r="S125" s="2">
        <v>20.399999618530199</v>
      </c>
      <c r="T125" s="2">
        <v>280.14999389648398</v>
      </c>
      <c r="U125" s="2">
        <v>70.610000610351506</v>
      </c>
      <c r="V125" s="2">
        <v>769.70001220703102</v>
      </c>
      <c r="W125" s="2">
        <v>386.04998779296801</v>
      </c>
      <c r="X125" s="2">
        <v>492.04998779296801</v>
      </c>
      <c r="Y125" s="2">
        <v>1567.55004882812</v>
      </c>
      <c r="Z125" s="2">
        <v>1509.30004882812</v>
      </c>
      <c r="AA125" s="2">
        <v>918.5</v>
      </c>
      <c r="AB125" s="2">
        <v>627.09997558593705</v>
      </c>
      <c r="AC125" s="2">
        <v>182.25</v>
      </c>
      <c r="AD125" s="2">
        <v>111.75</v>
      </c>
      <c r="AE125" s="2">
        <v>1112.30004882812</v>
      </c>
      <c r="AG125" s="2">
        <v>18191</v>
      </c>
      <c r="AH125" s="2">
        <v>61133.87890625</v>
      </c>
      <c r="AI125" s="2">
        <v>28926.7890625</v>
      </c>
    </row>
    <row r="126" spans="1:35" x14ac:dyDescent="0.3">
      <c r="A126" s="1">
        <v>44925</v>
      </c>
      <c r="B126" s="2">
        <v>73.650001525878906</v>
      </c>
      <c r="C126" s="2">
        <v>1093</v>
      </c>
      <c r="D126" s="2">
        <v>2707.25</v>
      </c>
      <c r="E126" s="2">
        <v>71.4326171875</v>
      </c>
      <c r="F126" s="2">
        <v>459.70001220703102</v>
      </c>
      <c r="G126" s="2">
        <v>2220.39990234375</v>
      </c>
      <c r="H126" s="2">
        <v>26.350000381469702</v>
      </c>
      <c r="I126" s="2">
        <v>4124.39990234375</v>
      </c>
      <c r="J126" s="2">
        <v>74.669998168945298</v>
      </c>
      <c r="K126" s="2">
        <v>226.94999694824199</v>
      </c>
      <c r="L126" s="2">
        <v>154.77000427246</v>
      </c>
      <c r="M126" s="2">
        <v>6270.4501953125</v>
      </c>
      <c r="N126" s="2">
        <v>1011.59997558593</v>
      </c>
      <c r="O126" s="2">
        <v>81.800003051757798</v>
      </c>
      <c r="P126" s="2">
        <v>173.100006103515</v>
      </c>
      <c r="Q126" s="2">
        <v>345.600006103515</v>
      </c>
      <c r="R126" s="2">
        <v>250.259994506835</v>
      </c>
      <c r="S126" s="2">
        <v>22.049999237060501</v>
      </c>
      <c r="T126" s="2">
        <v>281.350006103515</v>
      </c>
      <c r="U126" s="2">
        <v>71.084999084472599</v>
      </c>
      <c r="V126" s="2">
        <v>776.15002441406205</v>
      </c>
      <c r="W126" s="2">
        <v>395.29998779296801</v>
      </c>
      <c r="X126" s="2">
        <v>494.70001220703102</v>
      </c>
      <c r="Y126" s="2">
        <v>1551.34997558593</v>
      </c>
      <c r="Z126" s="2">
        <v>1523.40002441406</v>
      </c>
      <c r="AA126" s="2">
        <v>924.70001220703102</v>
      </c>
      <c r="AB126" s="2">
        <v>617.90002441406205</v>
      </c>
      <c r="AC126" s="2">
        <v>175.71499633789</v>
      </c>
      <c r="AD126" s="2">
        <v>112.650001525878</v>
      </c>
      <c r="AE126" s="2">
        <v>1132.55004882812</v>
      </c>
      <c r="AG126" s="2">
        <v>18105.30078125</v>
      </c>
      <c r="AH126" s="2">
        <v>60840.73828125</v>
      </c>
      <c r="AI126" s="2">
        <v>29169.2890625</v>
      </c>
    </row>
    <row r="127" spans="1:35" x14ac:dyDescent="0.3">
      <c r="A127" s="1">
        <v>44928</v>
      </c>
      <c r="B127" s="2">
        <v>74.400001525878906</v>
      </c>
      <c r="C127" s="2">
        <v>1105.40002441406</v>
      </c>
      <c r="D127" s="2">
        <v>2645.69995117187</v>
      </c>
      <c r="E127" s="2">
        <v>71.832611083984304</v>
      </c>
      <c r="F127" s="2">
        <v>446.54998779296801</v>
      </c>
      <c r="G127" s="2">
        <v>2195.14990234375</v>
      </c>
      <c r="H127" s="2">
        <v>26.75</v>
      </c>
      <c r="I127" s="2">
        <v>4225.7998046875</v>
      </c>
      <c r="J127" s="2">
        <v>79.239997863769503</v>
      </c>
      <c r="K127" s="2">
        <v>228.75</v>
      </c>
      <c r="L127" s="2">
        <v>155.71000671386699</v>
      </c>
      <c r="M127" s="2">
        <v>6229.7998046875</v>
      </c>
      <c r="N127" s="2">
        <v>1059.59997558593</v>
      </c>
      <c r="O127" s="2">
        <v>82.599998474121094</v>
      </c>
      <c r="P127" s="2">
        <v>170.44999694824199</v>
      </c>
      <c r="Q127" s="2">
        <v>339.25</v>
      </c>
      <c r="R127" s="2">
        <v>246.11999511718699</v>
      </c>
      <c r="S127" s="2">
        <v>22.350000381469702</v>
      </c>
      <c r="T127" s="2">
        <v>289.75</v>
      </c>
      <c r="U127" s="2">
        <v>70.894996643066406</v>
      </c>
      <c r="V127" s="2">
        <v>780.40002441406205</v>
      </c>
      <c r="W127" s="2">
        <v>394.17498779296801</v>
      </c>
      <c r="X127" s="2">
        <v>489.14999389648398</v>
      </c>
      <c r="Y127" s="2">
        <v>1572.69995117187</v>
      </c>
      <c r="Z127" s="2">
        <v>1529.34997558593</v>
      </c>
      <c r="AA127" s="2">
        <v>902.34997558593705</v>
      </c>
      <c r="AB127" s="2">
        <v>611.09997558593705</v>
      </c>
      <c r="AC127" s="2">
        <v>173.794998168945</v>
      </c>
      <c r="AD127" s="2">
        <v>119.25</v>
      </c>
      <c r="AE127" s="2">
        <v>1141.80004882812</v>
      </c>
      <c r="AG127" s="2">
        <v>18197.44921875</v>
      </c>
      <c r="AH127" s="2">
        <v>61167.7890625</v>
      </c>
      <c r="AI127" s="2">
        <v>29222.689453125</v>
      </c>
    </row>
    <row r="128" spans="1:35" x14ac:dyDescent="0.3">
      <c r="A128" s="1">
        <v>44929</v>
      </c>
      <c r="B128" s="2">
        <v>76.900001525878906</v>
      </c>
      <c r="C128" s="2">
        <v>1088.34997558593</v>
      </c>
      <c r="D128" s="2">
        <v>2634.25</v>
      </c>
      <c r="E128" s="2">
        <v>81.165855407714801</v>
      </c>
      <c r="F128" s="2">
        <v>463.75</v>
      </c>
      <c r="G128" s="2">
        <v>2214.19995117187</v>
      </c>
      <c r="H128" s="2">
        <v>26.649999618530199</v>
      </c>
      <c r="I128" s="2">
        <v>4255.60009765625</v>
      </c>
      <c r="J128" s="2">
        <v>81.830001831054602</v>
      </c>
      <c r="K128" s="2">
        <v>225.44999694824199</v>
      </c>
      <c r="L128" s="2">
        <v>159.89999389648401</v>
      </c>
      <c r="M128" s="2">
        <v>6203.5</v>
      </c>
      <c r="N128" s="2">
        <v>1092.15002441406</v>
      </c>
      <c r="O128" s="2">
        <v>82.75</v>
      </c>
      <c r="P128" s="2">
        <v>174.30000305175699</v>
      </c>
      <c r="Q128" s="2">
        <v>345</v>
      </c>
      <c r="R128" s="2">
        <v>241.669998168945</v>
      </c>
      <c r="S128" s="2">
        <v>22.049999237060501</v>
      </c>
      <c r="T128" s="2">
        <v>289.125</v>
      </c>
      <c r="U128" s="2">
        <v>72.834999084472599</v>
      </c>
      <c r="V128" s="2">
        <v>798.54998779296795</v>
      </c>
      <c r="W128" s="2">
        <v>398.27499389648398</v>
      </c>
      <c r="X128" s="2">
        <v>493.70001220703102</v>
      </c>
      <c r="Y128" s="2">
        <v>1588.59997558593</v>
      </c>
      <c r="Z128" s="2">
        <v>1629.90002441406</v>
      </c>
      <c r="AA128" s="2">
        <v>875.65002441406205</v>
      </c>
      <c r="AB128" s="2">
        <v>614.95001220703102</v>
      </c>
      <c r="AC128" s="2">
        <v>174.100006103515</v>
      </c>
      <c r="AD128" s="2">
        <v>118.449996948242</v>
      </c>
      <c r="AE128" s="2">
        <v>1137.69995117187</v>
      </c>
      <c r="AG128" s="2">
        <v>18232.55078125</v>
      </c>
      <c r="AH128" s="2">
        <v>61294.19921875</v>
      </c>
      <c r="AI128" s="2">
        <v>28993.029296875</v>
      </c>
    </row>
    <row r="129" spans="1:35" x14ac:dyDescent="0.3">
      <c r="A129" s="1">
        <v>44930</v>
      </c>
      <c r="B129" s="2">
        <v>76.150001525878906</v>
      </c>
      <c r="C129" s="2">
        <v>1135.15002441406</v>
      </c>
      <c r="D129" s="2">
        <v>2616.05004882812</v>
      </c>
      <c r="E129" s="2">
        <v>84.165824890136705</v>
      </c>
      <c r="F129" s="2">
        <v>462.95001220703102</v>
      </c>
      <c r="G129" s="2">
        <v>2207</v>
      </c>
      <c r="H129" s="2">
        <v>25.9500007629394</v>
      </c>
      <c r="I129" s="2">
        <v>4167.75</v>
      </c>
      <c r="J129" s="2">
        <v>79.800003051757798</v>
      </c>
      <c r="K129" s="2">
        <v>226.19999694824199</v>
      </c>
      <c r="L129" s="2">
        <v>157.97000122070301</v>
      </c>
      <c r="M129" s="2">
        <v>6248.7998046875</v>
      </c>
      <c r="N129" s="2">
        <v>1071</v>
      </c>
      <c r="O129" s="2">
        <v>81.949996948242102</v>
      </c>
      <c r="P129" s="2">
        <v>170.125</v>
      </c>
      <c r="Q129" s="2">
        <v>334</v>
      </c>
      <c r="R129" s="2">
        <v>241.83999633789</v>
      </c>
      <c r="S129" s="2">
        <v>21.399999618530199</v>
      </c>
      <c r="T129" s="2">
        <v>287.29998779296801</v>
      </c>
      <c r="U129" s="2">
        <v>72.180000305175696</v>
      </c>
      <c r="V129" s="2">
        <v>792.15002441406205</v>
      </c>
      <c r="W129" s="2">
        <v>397.125</v>
      </c>
      <c r="X129" s="2">
        <v>490.70001220703102</v>
      </c>
      <c r="Y129" s="2">
        <v>1569.59997558593</v>
      </c>
      <c r="Z129" s="2">
        <v>1639.15002441406</v>
      </c>
      <c r="AA129" s="2">
        <v>886.34997558593705</v>
      </c>
      <c r="AB129" s="2">
        <v>608.45001220703102</v>
      </c>
      <c r="AC129" s="2">
        <v>177.86999511718699</v>
      </c>
      <c r="AD129" s="2">
        <v>115.75</v>
      </c>
      <c r="AE129" s="2">
        <v>1130.94995117187</v>
      </c>
      <c r="AG129" s="2">
        <v>18042.94921875</v>
      </c>
      <c r="AH129" s="2">
        <v>60657.44921875</v>
      </c>
      <c r="AI129" s="2">
        <v>28995.869140625</v>
      </c>
    </row>
    <row r="130" spans="1:35" x14ac:dyDescent="0.3">
      <c r="A130" s="1">
        <v>44931</v>
      </c>
      <c r="B130" s="2">
        <v>76.199996948242102</v>
      </c>
      <c r="C130" s="2">
        <v>1122.30004882812</v>
      </c>
      <c r="D130" s="2">
        <v>2555.25</v>
      </c>
      <c r="E130" s="2">
        <v>80.965858459472599</v>
      </c>
      <c r="F130" s="2">
        <v>466.5</v>
      </c>
      <c r="G130" s="2">
        <v>2221.14990234375</v>
      </c>
      <c r="H130" s="2">
        <v>25.8250007629394</v>
      </c>
      <c r="I130" s="2">
        <v>4195.85009765625</v>
      </c>
      <c r="J130" s="2">
        <v>80.199996948242102</v>
      </c>
      <c r="K130" s="2">
        <v>222.350006103515</v>
      </c>
      <c r="L130" s="2">
        <v>155.21000671386699</v>
      </c>
      <c r="M130" s="2">
        <v>6233.7998046875</v>
      </c>
      <c r="N130" s="2">
        <v>1095.25</v>
      </c>
      <c r="O130" s="2">
        <v>81.849998474121094</v>
      </c>
      <c r="P130" s="2">
        <v>168.94999694824199</v>
      </c>
      <c r="Q130" s="2">
        <v>323.89999389648398</v>
      </c>
      <c r="R130" s="2">
        <v>241.61000061035099</v>
      </c>
      <c r="S130" s="2">
        <v>21.149999618530199</v>
      </c>
      <c r="T130" s="2">
        <v>292.39999389648398</v>
      </c>
      <c r="U130" s="2">
        <v>72.165000915527301</v>
      </c>
      <c r="V130" s="2">
        <v>816.20001220703102</v>
      </c>
      <c r="W130" s="2">
        <v>399.17498779296801</v>
      </c>
      <c r="X130" s="2">
        <v>491.350006103515</v>
      </c>
      <c r="Y130" s="2">
        <v>1584.25</v>
      </c>
      <c r="Z130" s="2">
        <v>1673.44995117187</v>
      </c>
      <c r="AA130" s="2">
        <v>872.34997558593705</v>
      </c>
      <c r="AB130" s="2">
        <v>605.34997558593705</v>
      </c>
      <c r="AC130" s="2">
        <v>173.69000244140599</v>
      </c>
      <c r="AD130" s="2">
        <v>116.550003051757</v>
      </c>
      <c r="AE130" s="2">
        <v>1092</v>
      </c>
      <c r="AG130" s="2">
        <v>17992.150390625</v>
      </c>
      <c r="AH130" s="2">
        <v>60353.26953125</v>
      </c>
      <c r="AI130" s="2">
        <v>28783.560546875</v>
      </c>
    </row>
    <row r="131" spans="1:35" x14ac:dyDescent="0.3">
      <c r="A131" s="1">
        <v>44932</v>
      </c>
      <c r="B131" s="2">
        <v>75.650001525878906</v>
      </c>
      <c r="C131" s="2">
        <v>1120.40002441406</v>
      </c>
      <c r="D131" s="2">
        <v>2551.05004882812</v>
      </c>
      <c r="E131" s="2">
        <v>80.599189758300696</v>
      </c>
      <c r="F131" s="2">
        <v>449.45001220703102</v>
      </c>
      <c r="G131" s="2">
        <v>2217.69995117187</v>
      </c>
      <c r="H131" s="2">
        <v>26.225000381469702</v>
      </c>
      <c r="I131" s="2">
        <v>4143.2001953125</v>
      </c>
      <c r="J131" s="2">
        <v>77.839996337890597</v>
      </c>
      <c r="K131" s="2">
        <v>224.80000305175699</v>
      </c>
      <c r="L131" s="2">
        <v>157.61999511718699</v>
      </c>
      <c r="M131" s="2">
        <v>6185.35009765625</v>
      </c>
      <c r="N131" s="2">
        <v>1076.44995117187</v>
      </c>
      <c r="O131" s="2">
        <v>80.699996948242102</v>
      </c>
      <c r="P131" s="2">
        <v>167.625</v>
      </c>
      <c r="Q131" s="2">
        <v>318</v>
      </c>
      <c r="R131" s="2">
        <v>240</v>
      </c>
      <c r="S131" s="2">
        <v>21</v>
      </c>
      <c r="T131" s="2">
        <v>293.850006103515</v>
      </c>
      <c r="U131" s="2">
        <v>71.430000305175696</v>
      </c>
      <c r="V131" s="2">
        <v>817.40002441406205</v>
      </c>
      <c r="W131" s="2">
        <v>388.850006103515</v>
      </c>
      <c r="X131" s="2">
        <v>492.600006103515</v>
      </c>
      <c r="Y131" s="2">
        <v>1583.5</v>
      </c>
      <c r="Z131" s="2">
        <v>1674.30004882812</v>
      </c>
      <c r="AA131" s="2">
        <v>859.25</v>
      </c>
      <c r="AB131" s="2">
        <v>588.65002441406205</v>
      </c>
      <c r="AC131" s="2">
        <v>173.59500122070301</v>
      </c>
      <c r="AD131" s="2">
        <v>115.650001525878</v>
      </c>
      <c r="AE131" s="2">
        <v>1086.94995117187</v>
      </c>
      <c r="AG131" s="2">
        <v>17859.44921875</v>
      </c>
      <c r="AH131" s="2">
        <v>59900.37109375</v>
      </c>
      <c r="AI131" s="2">
        <v>28928.060546875</v>
      </c>
    </row>
    <row r="132" spans="1:35" x14ac:dyDescent="0.3">
      <c r="A132" s="1">
        <v>44935</v>
      </c>
      <c r="B132" s="2">
        <v>76.349998474121094</v>
      </c>
      <c r="C132" s="2">
        <v>1112.40002441406</v>
      </c>
      <c r="D132" s="2">
        <v>2566.55004882812</v>
      </c>
      <c r="E132" s="2">
        <v>79.332542419433594</v>
      </c>
      <c r="F132" s="2">
        <v>431.45001220703102</v>
      </c>
      <c r="G132" s="2">
        <v>2223.64990234375</v>
      </c>
      <c r="H132" s="2">
        <v>26.7000007629394</v>
      </c>
      <c r="I132" s="2">
        <v>4101.2001953125</v>
      </c>
      <c r="J132" s="2">
        <v>79.470001220703097</v>
      </c>
      <c r="K132" s="2">
        <v>227.100006103515</v>
      </c>
      <c r="L132" s="2">
        <v>161.55999755859301</v>
      </c>
      <c r="M132" s="2">
        <v>6213.9501953125</v>
      </c>
      <c r="N132" s="2">
        <v>1052.80004882812</v>
      </c>
      <c r="O132" s="2">
        <v>80.849998474121094</v>
      </c>
      <c r="P132" s="2">
        <v>169.17500305175699</v>
      </c>
      <c r="Q132" s="2">
        <v>308.20001220703102</v>
      </c>
      <c r="R132" s="2">
        <v>239.80000305175699</v>
      </c>
      <c r="S132" s="2">
        <v>21.25</v>
      </c>
      <c r="T132" s="2">
        <v>291.70001220703102</v>
      </c>
      <c r="U132" s="2">
        <v>70.110000610351506</v>
      </c>
      <c r="V132" s="2">
        <v>829.40002441406205</v>
      </c>
      <c r="W132" s="2">
        <v>397.20001220703102</v>
      </c>
      <c r="X132" s="2">
        <v>493.79998779296801</v>
      </c>
      <c r="Y132" s="2">
        <v>1594.44995117187</v>
      </c>
      <c r="Z132" s="2">
        <v>1658.5</v>
      </c>
      <c r="AA132" s="2">
        <v>902.20001220703102</v>
      </c>
      <c r="AB132" s="2">
        <v>572.04998779296795</v>
      </c>
      <c r="AC132" s="2">
        <v>171.259994506835</v>
      </c>
      <c r="AD132" s="2">
        <v>117.550003051757</v>
      </c>
      <c r="AE132" s="2">
        <v>1087.09997558593</v>
      </c>
      <c r="AG132" s="2">
        <v>18101.19921875</v>
      </c>
      <c r="AH132" s="2">
        <v>60747.30859375</v>
      </c>
      <c r="AI132" s="2">
        <v>28794.890625</v>
      </c>
    </row>
    <row r="133" spans="1:35" x14ac:dyDescent="0.3">
      <c r="A133" s="1">
        <v>44936</v>
      </c>
      <c r="B133" s="2">
        <v>74.800003051757798</v>
      </c>
      <c r="C133" s="2">
        <v>1101.94995117187</v>
      </c>
      <c r="D133" s="2">
        <v>2601.85009765625</v>
      </c>
      <c r="E133" s="2">
        <v>79.965866088867102</v>
      </c>
      <c r="F133" s="2">
        <v>428.25</v>
      </c>
      <c r="G133" s="2">
        <v>2224.30004882812</v>
      </c>
      <c r="H133" s="2">
        <v>26.350000381469702</v>
      </c>
      <c r="I133" s="2">
        <v>3948.19995117187</v>
      </c>
      <c r="J133" s="2">
        <v>80.309997558593693</v>
      </c>
      <c r="K133" s="2">
        <v>224.600006103515</v>
      </c>
      <c r="L133" s="2">
        <v>159.83999633789</v>
      </c>
      <c r="M133" s="2">
        <v>6263.89990234375</v>
      </c>
      <c r="N133" s="2">
        <v>1037.75</v>
      </c>
      <c r="O133" s="2">
        <v>80.099998474121094</v>
      </c>
      <c r="P133" s="2">
        <v>165.975006103515</v>
      </c>
      <c r="Q133" s="2">
        <v>299.70001220703102</v>
      </c>
      <c r="R133" s="2">
        <v>235.71000671386699</v>
      </c>
      <c r="S133" s="2">
        <v>20.899999618530199</v>
      </c>
      <c r="T133" s="2">
        <v>291.100006103515</v>
      </c>
      <c r="U133" s="2">
        <v>69.315002441406193</v>
      </c>
      <c r="V133" s="2">
        <v>835.59997558593705</v>
      </c>
      <c r="W133" s="2">
        <v>393.79998779296801</v>
      </c>
      <c r="X133" s="2">
        <v>492.14999389648398</v>
      </c>
      <c r="Y133" s="2">
        <v>1616.84997558593</v>
      </c>
      <c r="Z133" s="2">
        <v>1652.65002441406</v>
      </c>
      <c r="AA133" s="2">
        <v>921.65002441406205</v>
      </c>
      <c r="AB133" s="2">
        <v>572.5</v>
      </c>
      <c r="AC133" s="2">
        <v>170.25500488281199</v>
      </c>
      <c r="AD133" s="2">
        <v>118.84999847412099</v>
      </c>
      <c r="AE133" s="2">
        <v>1083.75</v>
      </c>
      <c r="AG133" s="2">
        <v>17914.150390625</v>
      </c>
      <c r="AH133" s="2">
        <v>60115.48046875</v>
      </c>
      <c r="AI133" s="2">
        <v>28800.509765625</v>
      </c>
    </row>
    <row r="134" spans="1:35" x14ac:dyDescent="0.3">
      <c r="A134" s="1">
        <v>44937</v>
      </c>
      <c r="B134" s="2">
        <v>75.650001525878906</v>
      </c>
      <c r="C134" s="2">
        <v>1118.40002441406</v>
      </c>
      <c r="D134" s="2">
        <v>2592.64990234375</v>
      </c>
      <c r="E134" s="2">
        <v>78.7325439453125</v>
      </c>
      <c r="F134" s="2">
        <v>430.39999389648398</v>
      </c>
      <c r="G134" s="2">
        <v>2226.69995117187</v>
      </c>
      <c r="H134" s="2">
        <v>26.274999618530199</v>
      </c>
      <c r="I134" s="2">
        <v>3943.14990234375</v>
      </c>
      <c r="J134" s="2">
        <v>81.050003051757798</v>
      </c>
      <c r="K134" s="2">
        <v>226.14999389648401</v>
      </c>
      <c r="L134" s="2">
        <v>159.44999694824199</v>
      </c>
      <c r="M134" s="2">
        <v>6177.9501953125</v>
      </c>
      <c r="N134" s="2">
        <v>1047.05004882812</v>
      </c>
      <c r="O134" s="2">
        <v>80.949996948242102</v>
      </c>
      <c r="P134" s="2">
        <v>165.100006103515</v>
      </c>
      <c r="Q134" s="2">
        <v>297.29998779296801</v>
      </c>
      <c r="R134" s="2">
        <v>241.919998168945</v>
      </c>
      <c r="S134" s="2">
        <v>20.850000381469702</v>
      </c>
      <c r="T134" s="2">
        <v>290.375</v>
      </c>
      <c r="U134" s="2">
        <v>68.864997863769503</v>
      </c>
      <c r="V134" s="2">
        <v>834.65002441406205</v>
      </c>
      <c r="W134" s="2">
        <v>386</v>
      </c>
      <c r="X134" s="2">
        <v>491.350006103515</v>
      </c>
      <c r="Y134" s="2">
        <v>1615.19995117187</v>
      </c>
      <c r="Z134" s="2">
        <v>1671.69995117187</v>
      </c>
      <c r="AA134" s="2">
        <v>918.54998779296795</v>
      </c>
      <c r="AB134" s="2">
        <v>576.15002441406205</v>
      </c>
      <c r="AC134" s="2">
        <v>171.92500305175699</v>
      </c>
      <c r="AD134" s="2">
        <v>118.84999847412099</v>
      </c>
      <c r="AE134" s="2">
        <v>1084.75</v>
      </c>
      <c r="AG134" s="2">
        <v>17895.69921875</v>
      </c>
      <c r="AH134" s="2">
        <v>60105.5</v>
      </c>
      <c r="AI134" s="2">
        <v>28795.330078125</v>
      </c>
    </row>
    <row r="135" spans="1:35" x14ac:dyDescent="0.3">
      <c r="A135" s="1">
        <v>44938</v>
      </c>
      <c r="B135" s="2">
        <v>74.699996948242102</v>
      </c>
      <c r="C135" s="2">
        <v>1127.94995117187</v>
      </c>
      <c r="D135" s="2">
        <v>2557.39990234375</v>
      </c>
      <c r="E135" s="2">
        <v>80.165863037109304</v>
      </c>
      <c r="F135" s="2">
        <v>425.79998779296801</v>
      </c>
      <c r="G135" s="2">
        <v>2224.89990234375</v>
      </c>
      <c r="H135" s="2">
        <v>26.299999237060501</v>
      </c>
      <c r="I135" s="2">
        <v>3915.39990234375</v>
      </c>
      <c r="J135" s="2">
        <v>79.809997558593693</v>
      </c>
      <c r="K135" s="2">
        <v>233.64999389648401</v>
      </c>
      <c r="L135" s="2">
        <v>156.94000244140599</v>
      </c>
      <c r="M135" s="2">
        <v>6169.85009765625</v>
      </c>
      <c r="N135" s="2">
        <v>1044.15002441406</v>
      </c>
      <c r="O135" s="2">
        <v>80.949996948242102</v>
      </c>
      <c r="P135" s="2">
        <v>167.125</v>
      </c>
      <c r="Q135" s="2">
        <v>291.39999389648398</v>
      </c>
      <c r="R135" s="2">
        <v>241.55000305175699</v>
      </c>
      <c r="S135" s="2">
        <v>20.850000381469702</v>
      </c>
      <c r="T135" s="2">
        <v>287.350006103515</v>
      </c>
      <c r="U135" s="2">
        <v>69.709999084472599</v>
      </c>
      <c r="V135" s="2">
        <v>830.5</v>
      </c>
      <c r="W135" s="2">
        <v>377.29998779296801</v>
      </c>
      <c r="X135" s="2">
        <v>495.64999389648398</v>
      </c>
      <c r="Y135" s="2">
        <v>1610.94995117187</v>
      </c>
      <c r="Z135" s="2">
        <v>1656.65002441406</v>
      </c>
      <c r="AA135" s="2">
        <v>909.54998779296795</v>
      </c>
      <c r="AB135" s="2">
        <v>575</v>
      </c>
      <c r="AC135" s="2">
        <v>170.07499694824199</v>
      </c>
      <c r="AD135" s="2">
        <v>118.09999847412099</v>
      </c>
      <c r="AE135" s="2">
        <v>1074.65002441406</v>
      </c>
      <c r="AG135" s="2">
        <v>17858.19921875</v>
      </c>
      <c r="AH135" s="2">
        <v>59958.03125</v>
      </c>
      <c r="AI135" s="2">
        <v>28858.30078125</v>
      </c>
    </row>
    <row r="136" spans="1:35" x14ac:dyDescent="0.3">
      <c r="A136" s="1">
        <v>44939</v>
      </c>
      <c r="B136" s="2">
        <v>74.5</v>
      </c>
      <c r="C136" s="2">
        <v>1134.55004882812</v>
      </c>
      <c r="D136" s="2">
        <v>2562.69995117187</v>
      </c>
      <c r="E136" s="2">
        <v>78.565879821777301</v>
      </c>
      <c r="F136" s="2">
        <v>439.14999389648398</v>
      </c>
      <c r="G136" s="2">
        <v>2271.05004882812</v>
      </c>
      <c r="H136" s="2">
        <v>25.850000381469702</v>
      </c>
      <c r="I136" s="2">
        <v>3952.30004882812</v>
      </c>
      <c r="J136" s="2">
        <v>81.209999084472599</v>
      </c>
      <c r="K136" s="2">
        <v>228.350006103515</v>
      </c>
      <c r="L136" s="2">
        <v>155.08999633789</v>
      </c>
      <c r="M136" s="2">
        <v>6190</v>
      </c>
      <c r="N136" s="2">
        <v>1050.15002441406</v>
      </c>
      <c r="O136" s="2">
        <v>81.050003051757798</v>
      </c>
      <c r="P136" s="2">
        <v>167.125</v>
      </c>
      <c r="Q136" s="2">
        <v>305</v>
      </c>
      <c r="R136" s="2">
        <v>240.52000427246</v>
      </c>
      <c r="S136" s="2">
        <v>21</v>
      </c>
      <c r="T136" s="2">
        <v>292.77499389648398</v>
      </c>
      <c r="U136" s="2">
        <v>70.375</v>
      </c>
      <c r="V136" s="2">
        <v>826.45001220703102</v>
      </c>
      <c r="W136" s="2">
        <v>388.79998779296801</v>
      </c>
      <c r="X136" s="2">
        <v>494.89999389648398</v>
      </c>
      <c r="Y136" s="2">
        <v>1633.94995117187</v>
      </c>
      <c r="Z136" s="2">
        <v>1606.80004882812</v>
      </c>
      <c r="AA136" s="2">
        <v>955</v>
      </c>
      <c r="AB136" s="2">
        <v>571.70001220703102</v>
      </c>
      <c r="AC136" s="2">
        <v>168.88999938964801</v>
      </c>
      <c r="AD136" s="2">
        <v>120.449996948242</v>
      </c>
      <c r="AE136" s="2">
        <v>1077.59997558593</v>
      </c>
      <c r="AG136" s="2">
        <v>17956.599609375</v>
      </c>
      <c r="AH136" s="2">
        <v>60261.1796875</v>
      </c>
      <c r="AI136" s="2">
        <v>28830.05078125</v>
      </c>
    </row>
    <row r="137" spans="1:35" x14ac:dyDescent="0.3">
      <c r="A137" s="1">
        <v>44942</v>
      </c>
      <c r="B137" s="2">
        <v>74.849998474121094</v>
      </c>
      <c r="C137" s="2">
        <v>1122.65002441406</v>
      </c>
      <c r="D137" s="2">
        <v>2553.69995117187</v>
      </c>
      <c r="E137" s="2">
        <v>77.132560729980398</v>
      </c>
      <c r="F137" s="2">
        <v>450.39999389648398</v>
      </c>
      <c r="G137" s="2">
        <v>2287.80004882812</v>
      </c>
      <c r="H137" s="2">
        <v>28</v>
      </c>
      <c r="I137" s="2">
        <v>3937.64990234375</v>
      </c>
      <c r="J137" s="2">
        <v>80.779998779296804</v>
      </c>
      <c r="K137" s="2">
        <v>224.25</v>
      </c>
      <c r="L137" s="2">
        <v>153.78999328613199</v>
      </c>
      <c r="M137" s="2">
        <v>6151.64990234375</v>
      </c>
      <c r="N137" s="2">
        <v>1037.94995117187</v>
      </c>
      <c r="O137" s="2">
        <v>81.150001525878906</v>
      </c>
      <c r="P137" s="2">
        <v>166.44999694824199</v>
      </c>
      <c r="Q137" s="2">
        <v>297</v>
      </c>
      <c r="R137" s="2">
        <v>241.600006103515</v>
      </c>
      <c r="S137" s="2">
        <v>20.799999237060501</v>
      </c>
      <c r="T137" s="2">
        <v>290.350006103515</v>
      </c>
      <c r="U137" s="2">
        <v>69.010002136230398</v>
      </c>
      <c r="V137" s="2">
        <v>828.65002441406205</v>
      </c>
      <c r="W137" s="2">
        <v>383.14999389648398</v>
      </c>
      <c r="X137" s="2">
        <v>495.29998779296801</v>
      </c>
      <c r="Y137" s="2">
        <v>1610.05004882812</v>
      </c>
      <c r="Z137" s="2">
        <v>1560.75</v>
      </c>
      <c r="AA137" s="2">
        <v>1002.75</v>
      </c>
      <c r="AB137" s="2">
        <v>565.79998779296795</v>
      </c>
      <c r="AC137" s="2">
        <v>168.77999877929599</v>
      </c>
      <c r="AD137" s="2">
        <v>119.949996948242</v>
      </c>
      <c r="AE137" s="2">
        <v>1065.19995117187</v>
      </c>
      <c r="AG137" s="2">
        <v>17894.849609375</v>
      </c>
      <c r="AH137" s="2">
        <v>60092.96875</v>
      </c>
      <c r="AI137" s="2">
        <v>28792.830078125</v>
      </c>
    </row>
    <row r="138" spans="1:35" x14ac:dyDescent="0.3">
      <c r="A138" s="1">
        <v>44943</v>
      </c>
      <c r="B138" s="2">
        <v>73.949996948242102</v>
      </c>
      <c r="C138" s="2">
        <v>1143.05004882812</v>
      </c>
      <c r="D138" s="2">
        <v>2496.05004882812</v>
      </c>
      <c r="E138" s="2">
        <v>77.499221801757798</v>
      </c>
      <c r="F138" s="2">
        <v>455.89999389648398</v>
      </c>
      <c r="G138" s="2">
        <v>2289.94995117187</v>
      </c>
      <c r="H138" s="2">
        <v>28.049999237060501</v>
      </c>
      <c r="I138" s="2">
        <v>3878.39990234375</v>
      </c>
      <c r="J138" s="2">
        <v>78.419998168945298</v>
      </c>
      <c r="K138" s="2">
        <v>224.64999389648401</v>
      </c>
      <c r="L138" s="2">
        <v>153.850006103515</v>
      </c>
      <c r="M138" s="2">
        <v>6163.0498046875</v>
      </c>
      <c r="N138" s="2">
        <v>1014.75</v>
      </c>
      <c r="O138" s="2">
        <v>80.599998474121094</v>
      </c>
      <c r="P138" s="2">
        <v>164.75</v>
      </c>
      <c r="Q138" s="2">
        <v>296.850006103515</v>
      </c>
      <c r="R138" s="2">
        <v>243.89999389648401</v>
      </c>
      <c r="S138" s="2">
        <v>20.649999618530199</v>
      </c>
      <c r="T138" s="2">
        <v>289.5</v>
      </c>
      <c r="U138" s="2">
        <v>68.394996643066406</v>
      </c>
      <c r="V138" s="2">
        <v>830.5</v>
      </c>
      <c r="W138" s="2">
        <v>378.29998779296801</v>
      </c>
      <c r="X138" s="2">
        <v>492.39999389648398</v>
      </c>
      <c r="Y138" s="2">
        <v>1623</v>
      </c>
      <c r="Z138" s="2">
        <v>1591.34997558593</v>
      </c>
      <c r="AA138" s="2">
        <v>1052.84997558593</v>
      </c>
      <c r="AB138" s="2">
        <v>560.15002441406205</v>
      </c>
      <c r="AC138" s="2">
        <v>166.38999938964801</v>
      </c>
      <c r="AD138" s="2">
        <v>119.34999847412099</v>
      </c>
      <c r="AE138" s="2">
        <v>1027.69995117187</v>
      </c>
      <c r="AG138" s="2">
        <v>18053.30078125</v>
      </c>
      <c r="AH138" s="2">
        <v>60655.71875</v>
      </c>
      <c r="AI138" s="2">
        <v>28841.630859375</v>
      </c>
    </row>
    <row r="139" spans="1:35" x14ac:dyDescent="0.3">
      <c r="A139" s="1">
        <v>44944</v>
      </c>
      <c r="B139" s="2">
        <v>73.849998474121094</v>
      </c>
      <c r="C139" s="2">
        <v>1189.25</v>
      </c>
      <c r="D139" s="2">
        <v>2441.5</v>
      </c>
      <c r="E139" s="2">
        <v>77.199226379394503</v>
      </c>
      <c r="F139" s="2">
        <v>445.89999389648398</v>
      </c>
      <c r="G139" s="2">
        <v>2294.85009765625</v>
      </c>
      <c r="H139" s="2">
        <v>27.75</v>
      </c>
      <c r="I139" s="2">
        <v>3879.10009765625</v>
      </c>
      <c r="J139" s="2">
        <v>79.870002746582003</v>
      </c>
      <c r="K139" s="2">
        <v>225</v>
      </c>
      <c r="L139" s="2">
        <v>152.77000427246</v>
      </c>
      <c r="M139" s="2">
        <v>6153.39990234375</v>
      </c>
      <c r="N139" s="2">
        <v>1054.40002441406</v>
      </c>
      <c r="O139" s="2">
        <v>81.050003051757798</v>
      </c>
      <c r="P139" s="2">
        <v>189.875</v>
      </c>
      <c r="Q139" s="2">
        <v>300.45001220703102</v>
      </c>
      <c r="R139" s="2">
        <v>246.80000305175699</v>
      </c>
      <c r="S139" s="2">
        <v>20.649999618530199</v>
      </c>
      <c r="T139" s="2">
        <v>291.54998779296801</v>
      </c>
      <c r="U139" s="2">
        <v>67.75</v>
      </c>
      <c r="V139" s="2">
        <v>820.65002441406205</v>
      </c>
      <c r="W139" s="2">
        <v>371.100006103515</v>
      </c>
      <c r="X139" s="2">
        <v>494.75</v>
      </c>
      <c r="Y139" s="2">
        <v>1629.25</v>
      </c>
      <c r="Z139" s="2">
        <v>1585.90002441406</v>
      </c>
      <c r="AA139" s="2">
        <v>1041.55004882812</v>
      </c>
      <c r="AB139" s="2">
        <v>558.65002441406205</v>
      </c>
      <c r="AC139" s="2">
        <v>164.80999755859301</v>
      </c>
      <c r="AD139" s="2">
        <v>122.449996948242</v>
      </c>
      <c r="AE139" s="2">
        <v>1004.65002441406</v>
      </c>
      <c r="AG139" s="2">
        <v>18165.349609375</v>
      </c>
      <c r="AH139" s="2">
        <v>61045.73828125</v>
      </c>
      <c r="AI139" s="2">
        <v>28773.26953125</v>
      </c>
    </row>
    <row r="140" spans="1:35" x14ac:dyDescent="0.3">
      <c r="A140" s="1">
        <v>44945</v>
      </c>
      <c r="B140" s="2">
        <v>73.400001525878906</v>
      </c>
      <c r="C140" s="2">
        <v>1178.75</v>
      </c>
      <c r="D140" s="2">
        <v>2429.55004882812</v>
      </c>
      <c r="E140" s="2">
        <v>77.732551574707003</v>
      </c>
      <c r="F140" s="2">
        <v>445.04998779296801</v>
      </c>
      <c r="G140" s="2">
        <v>2305.39990234375</v>
      </c>
      <c r="H140" s="2">
        <v>27.375</v>
      </c>
      <c r="I140" s="2">
        <v>3927.80004882812</v>
      </c>
      <c r="J140" s="2">
        <v>81.589996337890597</v>
      </c>
      <c r="K140" s="2">
        <v>220.69999694824199</v>
      </c>
      <c r="L140" s="2">
        <v>153.100006103515</v>
      </c>
      <c r="M140" s="2">
        <v>6109.64990234375</v>
      </c>
      <c r="N140" s="2">
        <v>1111.34997558593</v>
      </c>
      <c r="O140" s="2">
        <v>80.75</v>
      </c>
      <c r="P140" s="2">
        <v>183.67500305175699</v>
      </c>
      <c r="Q140" s="2">
        <v>288.75</v>
      </c>
      <c r="R140" s="2">
        <v>246.63999938964801</v>
      </c>
      <c r="S140" s="2">
        <v>20.600000381469702</v>
      </c>
      <c r="T140" s="2">
        <v>291.25</v>
      </c>
      <c r="U140" s="2">
        <v>67.580001831054602</v>
      </c>
      <c r="V140" s="2">
        <v>806.04998779296795</v>
      </c>
      <c r="W140" s="2">
        <v>363.39999389648398</v>
      </c>
      <c r="X140" s="2">
        <v>494.25</v>
      </c>
      <c r="Y140" s="2">
        <v>1635.55004882812</v>
      </c>
      <c r="Z140" s="2">
        <v>1566.40002441406</v>
      </c>
      <c r="AA140" s="2">
        <v>1034.09997558593</v>
      </c>
      <c r="AB140" s="2">
        <v>557.65002441406205</v>
      </c>
      <c r="AC140" s="2">
        <v>164.009994506835</v>
      </c>
      <c r="AD140" s="2">
        <v>123.550003051757</v>
      </c>
      <c r="AE140" s="2">
        <v>1026.90002441406</v>
      </c>
      <c r="AG140" s="2">
        <v>18107.849609375</v>
      </c>
      <c r="AH140" s="2">
        <v>60858.4296875</v>
      </c>
      <c r="AI140" s="2">
        <v>28630.189453125</v>
      </c>
    </row>
    <row r="141" spans="1:35" x14ac:dyDescent="0.3">
      <c r="A141" s="1">
        <v>44946</v>
      </c>
      <c r="B141" s="2">
        <v>74.699996948242102</v>
      </c>
      <c r="C141" s="2">
        <v>1195.84997558593</v>
      </c>
      <c r="D141" s="2">
        <v>2380.75</v>
      </c>
      <c r="E141" s="2">
        <v>76.465904235839801</v>
      </c>
      <c r="F141" s="2">
        <v>451.95001220703102</v>
      </c>
      <c r="G141" s="2">
        <v>2318.89990234375</v>
      </c>
      <c r="H141" s="2">
        <v>27.5750007629394</v>
      </c>
      <c r="I141" s="2">
        <v>3940</v>
      </c>
      <c r="J141" s="2">
        <v>81.419998168945298</v>
      </c>
      <c r="K141" s="2">
        <v>217.350006103515</v>
      </c>
      <c r="L141" s="2">
        <v>151.58999633789</v>
      </c>
      <c r="M141" s="2">
        <v>6089.10009765625</v>
      </c>
      <c r="N141" s="2">
        <v>1119.44995117187</v>
      </c>
      <c r="O141" s="2">
        <v>82.800003051757798</v>
      </c>
      <c r="P141" s="2">
        <v>177.850006103515</v>
      </c>
      <c r="Q141" s="2">
        <v>281.20001220703102</v>
      </c>
      <c r="R141" s="2">
        <v>243.02000427246</v>
      </c>
      <c r="S141" s="2">
        <v>20.5</v>
      </c>
      <c r="T141" s="2">
        <v>292.82501220703102</v>
      </c>
      <c r="U141" s="2">
        <v>66.635002136230398</v>
      </c>
      <c r="V141" s="2">
        <v>802.95001220703102</v>
      </c>
      <c r="W141" s="2">
        <v>360.75</v>
      </c>
      <c r="X141" s="2">
        <v>494.95001220703102</v>
      </c>
      <c r="Y141" s="2">
        <v>1627.44995117187</v>
      </c>
      <c r="Z141" s="2">
        <v>1626.84997558593</v>
      </c>
      <c r="AA141" s="2">
        <v>1006.40002441406</v>
      </c>
      <c r="AB141" s="2">
        <v>558.65002441406205</v>
      </c>
      <c r="AC141" s="2">
        <v>167.21000671386699</v>
      </c>
      <c r="AD141" s="2">
        <v>122.949996948242</v>
      </c>
      <c r="AE141" s="2">
        <v>1006.15002441406</v>
      </c>
      <c r="AG141" s="2">
        <v>18027.650390625</v>
      </c>
      <c r="AH141" s="2">
        <v>60621.76953125</v>
      </c>
      <c r="AI141" s="2">
        <v>28544.400390625</v>
      </c>
    </row>
    <row r="142" spans="1:35" x14ac:dyDescent="0.3">
      <c r="A142" s="1">
        <v>44949</v>
      </c>
      <c r="B142" s="2">
        <v>74.150001525878906</v>
      </c>
      <c r="C142" s="2">
        <v>1164.19995117187</v>
      </c>
      <c r="D142" s="2">
        <v>2340</v>
      </c>
      <c r="E142" s="2">
        <v>74.0325927734375</v>
      </c>
      <c r="F142" s="2">
        <v>450.25</v>
      </c>
      <c r="G142" s="2">
        <v>2316.89990234375</v>
      </c>
      <c r="H142" s="2">
        <v>27.174999237060501</v>
      </c>
      <c r="I142" s="2">
        <v>3877.69995117187</v>
      </c>
      <c r="J142" s="2">
        <v>82.029998779296804</v>
      </c>
      <c r="K142" s="2">
        <v>218.30000305175699</v>
      </c>
      <c r="L142" s="2">
        <v>153.99000549316401</v>
      </c>
      <c r="M142" s="2">
        <v>6010.5</v>
      </c>
      <c r="N142" s="2">
        <v>1102</v>
      </c>
      <c r="O142" s="2">
        <v>81.550003051757798</v>
      </c>
      <c r="P142" s="2">
        <v>170.725006103515</v>
      </c>
      <c r="Q142" s="2">
        <v>284.25</v>
      </c>
      <c r="R142" s="2">
        <v>252.25</v>
      </c>
      <c r="S142" s="2">
        <v>20.25</v>
      </c>
      <c r="T142" s="2">
        <v>296.42498779296801</v>
      </c>
      <c r="U142" s="2">
        <v>79.205001831054602</v>
      </c>
      <c r="V142" s="2">
        <v>789.90002441406205</v>
      </c>
      <c r="W142" s="2">
        <v>364.29998779296801</v>
      </c>
      <c r="X142" s="2">
        <v>493.850006103515</v>
      </c>
      <c r="Y142" s="2">
        <v>1627.34997558593</v>
      </c>
      <c r="Z142" s="2">
        <v>1614.90002441406</v>
      </c>
      <c r="AA142" s="2">
        <v>1056.69995117187</v>
      </c>
      <c r="AB142" s="2">
        <v>557.45001220703102</v>
      </c>
      <c r="AC142" s="2">
        <v>161.52000427246</v>
      </c>
      <c r="AD142" s="2">
        <v>122</v>
      </c>
      <c r="AE142" s="2">
        <v>988.20001220703102</v>
      </c>
      <c r="AG142" s="2">
        <v>18118.55078125</v>
      </c>
      <c r="AH142" s="2">
        <v>60941.671875</v>
      </c>
      <c r="AI142" s="2">
        <v>28422.44921875</v>
      </c>
    </row>
    <row r="143" spans="1:35" x14ac:dyDescent="0.3">
      <c r="A143" s="1">
        <v>44950</v>
      </c>
      <c r="B143" s="2">
        <v>73.300003051757798</v>
      </c>
      <c r="C143" s="2">
        <v>1156</v>
      </c>
      <c r="D143" s="2">
        <v>2339.94995117187</v>
      </c>
      <c r="E143" s="2">
        <v>73.865928649902301</v>
      </c>
      <c r="F143" s="2">
        <v>447.5</v>
      </c>
      <c r="G143" s="2">
        <v>2301.25</v>
      </c>
      <c r="H143" s="2">
        <v>26.725000381469702</v>
      </c>
      <c r="I143" s="2">
        <v>3860.19995117187</v>
      </c>
      <c r="J143" s="2">
        <v>80.080001831054602</v>
      </c>
      <c r="K143" s="2">
        <v>218.14999389648401</v>
      </c>
      <c r="L143" s="2">
        <v>151.86999511718699</v>
      </c>
      <c r="M143" s="2">
        <v>6041.5498046875</v>
      </c>
      <c r="N143" s="2">
        <v>1138.5</v>
      </c>
      <c r="O143" s="2">
        <v>80.699996948242102</v>
      </c>
      <c r="P143" s="2">
        <v>176.44999694824199</v>
      </c>
      <c r="Q143" s="2">
        <v>283.95001220703102</v>
      </c>
      <c r="R143" s="2">
        <v>253.71000671386699</v>
      </c>
      <c r="S143" s="2">
        <v>20.049999237060501</v>
      </c>
      <c r="T143" s="2">
        <v>312.75</v>
      </c>
      <c r="U143" s="2">
        <v>74.830001831054602</v>
      </c>
      <c r="V143" s="2">
        <v>778.90002441406205</v>
      </c>
      <c r="W143" s="2">
        <v>365.45001220703102</v>
      </c>
      <c r="X143" s="2">
        <v>486.14999389648398</v>
      </c>
      <c r="Y143" s="2">
        <v>1630</v>
      </c>
      <c r="Z143" s="2">
        <v>1622.90002441406</v>
      </c>
      <c r="AA143" s="2">
        <v>1109.5</v>
      </c>
      <c r="AB143" s="2">
        <v>552.79998779296795</v>
      </c>
      <c r="AC143" s="2">
        <v>158.46000671386699</v>
      </c>
      <c r="AD143" s="2">
        <v>120.400001525878</v>
      </c>
      <c r="AE143" s="2">
        <v>1024.05004882812</v>
      </c>
      <c r="AG143" s="2">
        <v>18118.30078125</v>
      </c>
      <c r="AH143" s="2">
        <v>60978.75</v>
      </c>
      <c r="AI143" s="2">
        <v>28154.890625</v>
      </c>
    </row>
    <row r="144" spans="1:35" x14ac:dyDescent="0.3">
      <c r="A144" s="1">
        <v>44951</v>
      </c>
      <c r="B144" s="2">
        <v>72.400001525878906</v>
      </c>
      <c r="C144" s="2">
        <v>1153.19995117187</v>
      </c>
      <c r="D144" s="2">
        <v>2298.5</v>
      </c>
      <c r="E144" s="2">
        <v>74.099258422851506</v>
      </c>
      <c r="F144" s="2">
        <v>446.70001220703102</v>
      </c>
      <c r="G144" s="2">
        <v>2277.55004882812</v>
      </c>
      <c r="H144" s="2">
        <v>25.549999237060501</v>
      </c>
      <c r="I144" s="2">
        <v>4073.05004882812</v>
      </c>
      <c r="J144" s="2">
        <v>77.910003662109304</v>
      </c>
      <c r="K144" s="2">
        <v>219.14999389648401</v>
      </c>
      <c r="L144" s="2">
        <v>152.36999511718699</v>
      </c>
      <c r="M144" s="2">
        <v>6073.2001953125</v>
      </c>
      <c r="N144" s="2">
        <v>1085.34997558593</v>
      </c>
      <c r="O144" s="2">
        <v>79.650001525878906</v>
      </c>
      <c r="P144" s="2">
        <v>170.875</v>
      </c>
      <c r="Q144" s="2">
        <v>269.79998779296801</v>
      </c>
      <c r="R144" s="2">
        <v>247.22999572753901</v>
      </c>
      <c r="S144" s="2">
        <v>19.899999618530199</v>
      </c>
      <c r="T144" s="2">
        <v>310.875</v>
      </c>
      <c r="U144" s="2">
        <v>71.230003356933594</v>
      </c>
      <c r="V144" s="2">
        <v>783.84997558593705</v>
      </c>
      <c r="W144" s="2">
        <v>352.100006103515</v>
      </c>
      <c r="X144" s="2">
        <v>489</v>
      </c>
      <c r="Y144" s="2">
        <v>1575.40002441406</v>
      </c>
      <c r="Z144" s="2">
        <v>1599</v>
      </c>
      <c r="AA144" s="2">
        <v>1118.19995117187</v>
      </c>
      <c r="AB144" s="2">
        <v>547</v>
      </c>
      <c r="AC144" s="2">
        <v>162.58500671386699</v>
      </c>
      <c r="AD144" s="2">
        <v>121</v>
      </c>
      <c r="AE144" s="2">
        <v>999.79998779296795</v>
      </c>
      <c r="AG144" s="2">
        <v>17891.94921875</v>
      </c>
      <c r="AH144" s="2">
        <v>60205.05859375</v>
      </c>
      <c r="AI144" s="2">
        <v>27623.849609375</v>
      </c>
    </row>
    <row r="145" spans="1:35" x14ac:dyDescent="0.3">
      <c r="A145" s="1">
        <v>44953</v>
      </c>
      <c r="B145" s="2">
        <v>71.599998474121094</v>
      </c>
      <c r="C145" s="2">
        <v>1137.5</v>
      </c>
      <c r="D145" s="2">
        <v>2283.19995117187</v>
      </c>
      <c r="E145" s="2">
        <v>71.765945434570298</v>
      </c>
      <c r="F145" s="2">
        <v>431.79998779296801</v>
      </c>
      <c r="G145" s="2">
        <v>2296.25</v>
      </c>
      <c r="H145" s="2">
        <v>24.549999237060501</v>
      </c>
      <c r="I145" s="2">
        <v>4057.75</v>
      </c>
      <c r="J145" s="2">
        <v>75.800003051757798</v>
      </c>
      <c r="K145" s="2">
        <v>217.64999389648401</v>
      </c>
      <c r="L145" s="2">
        <v>147.72999572753901</v>
      </c>
      <c r="M145" s="2">
        <v>6198</v>
      </c>
      <c r="N145" s="2">
        <v>1029.84997558593</v>
      </c>
      <c r="O145" s="2">
        <v>77.300003051757798</v>
      </c>
      <c r="P145" s="2">
        <v>145.625</v>
      </c>
      <c r="Q145" s="2">
        <v>256.350006103515</v>
      </c>
      <c r="R145" s="2">
        <v>237.350006103515</v>
      </c>
      <c r="S145" s="2">
        <v>19.799999237060501</v>
      </c>
      <c r="T145" s="2">
        <v>302.02499389648398</v>
      </c>
      <c r="U145" s="2">
        <v>70.860000610351506</v>
      </c>
      <c r="V145" s="2">
        <v>770.75</v>
      </c>
      <c r="W145" s="2">
        <v>352.54998779296801</v>
      </c>
      <c r="X145" s="2">
        <v>491.29998779296801</v>
      </c>
      <c r="Y145" s="2">
        <v>1575.84997558593</v>
      </c>
      <c r="Z145" s="2">
        <v>1564.90002441406</v>
      </c>
      <c r="AA145" s="2">
        <v>1086.44995117187</v>
      </c>
      <c r="AB145" s="2">
        <v>534.20001220703102</v>
      </c>
      <c r="AC145" s="2">
        <v>159.77999877929599</v>
      </c>
      <c r="AD145" s="2">
        <v>120.650001525878</v>
      </c>
      <c r="AE145" s="2">
        <v>964.29998779296795</v>
      </c>
      <c r="AG145" s="2">
        <v>17604.349609375</v>
      </c>
      <c r="AH145" s="2">
        <v>59330.8984375</v>
      </c>
      <c r="AI145" s="2">
        <v>27596.69921875</v>
      </c>
    </row>
    <row r="146" spans="1:35" x14ac:dyDescent="0.3">
      <c r="A146" s="1">
        <v>44956</v>
      </c>
      <c r="B146" s="2">
        <v>70.300003051757798</v>
      </c>
      <c r="C146" s="2">
        <v>1137.5</v>
      </c>
      <c r="D146" s="2">
        <v>2259.55004882812</v>
      </c>
      <c r="E146" s="2">
        <v>69.165977478027301</v>
      </c>
      <c r="F146" s="2">
        <v>440.45001220703102</v>
      </c>
      <c r="G146" s="2">
        <v>2259</v>
      </c>
      <c r="H146" s="2">
        <v>26.024999618530199</v>
      </c>
      <c r="I146" s="2">
        <v>3922.55004882812</v>
      </c>
      <c r="J146" s="2">
        <v>76.349998474121094</v>
      </c>
      <c r="K146" s="2">
        <v>218.5</v>
      </c>
      <c r="L146" s="2">
        <v>141.36000061035099</v>
      </c>
      <c r="M146" s="2">
        <v>6253.5</v>
      </c>
      <c r="N146" s="2">
        <v>1010.34997558593</v>
      </c>
      <c r="O146" s="2">
        <v>75.449996948242102</v>
      </c>
      <c r="P146" s="2">
        <v>132.600006103515</v>
      </c>
      <c r="Q146" s="2">
        <v>243.55000305175699</v>
      </c>
      <c r="R146" s="2">
        <v>239.58000183105401</v>
      </c>
      <c r="S146" s="2">
        <v>19.899999618530199</v>
      </c>
      <c r="T146" s="2">
        <v>302.5</v>
      </c>
      <c r="U146" s="2">
        <v>69.404998779296804</v>
      </c>
      <c r="V146" s="2">
        <v>774.34997558593705</v>
      </c>
      <c r="W146" s="2">
        <v>359.5</v>
      </c>
      <c r="X146" s="2">
        <v>488.350006103515</v>
      </c>
      <c r="Y146" s="2">
        <v>1585.84997558593</v>
      </c>
      <c r="Z146" s="2">
        <v>1595.59997558593</v>
      </c>
      <c r="AA146" s="2">
        <v>1086</v>
      </c>
      <c r="AB146" s="2">
        <v>522.40002441406205</v>
      </c>
      <c r="AC146" s="2">
        <v>158.66000366210901</v>
      </c>
      <c r="AD146" s="2">
        <v>118.75</v>
      </c>
      <c r="AE146" s="2">
        <v>958.20001220703102</v>
      </c>
      <c r="AG146" s="2">
        <v>17648.94921875</v>
      </c>
      <c r="AH146" s="2">
        <v>59500.41015625</v>
      </c>
      <c r="AI146" s="2">
        <v>28205.890625</v>
      </c>
    </row>
    <row r="147" spans="1:35" x14ac:dyDescent="0.3">
      <c r="A147" s="1">
        <v>44957</v>
      </c>
      <c r="B147" s="2">
        <v>71.800003051757798</v>
      </c>
      <c r="C147" s="2">
        <v>1147.15002441406</v>
      </c>
      <c r="D147" s="2">
        <v>2387.25</v>
      </c>
      <c r="E147" s="2">
        <v>71.499282836914006</v>
      </c>
      <c r="F147" s="2">
        <v>441.350006103515</v>
      </c>
      <c r="G147" s="2">
        <v>2275.44995117187</v>
      </c>
      <c r="H147" s="2">
        <v>26</v>
      </c>
      <c r="I147" s="2">
        <v>3938.5</v>
      </c>
      <c r="J147" s="2">
        <v>79.819999694824205</v>
      </c>
      <c r="K147" s="2">
        <v>217.100006103515</v>
      </c>
      <c r="L147" s="2">
        <v>144.13999938964801</v>
      </c>
      <c r="M147" s="2">
        <v>6204.5498046875</v>
      </c>
      <c r="N147" s="2">
        <v>1044.05004882812</v>
      </c>
      <c r="O147" s="2">
        <v>77.099998474121094</v>
      </c>
      <c r="P147" s="2">
        <v>146.125</v>
      </c>
      <c r="Q147" s="2">
        <v>246.850006103515</v>
      </c>
      <c r="R147" s="2">
        <v>243.22999572753901</v>
      </c>
      <c r="S147" s="2">
        <v>20.149999618530199</v>
      </c>
      <c r="T147" s="2">
        <v>303.375</v>
      </c>
      <c r="U147" s="2">
        <v>70.860000610351506</v>
      </c>
      <c r="V147" s="2">
        <v>777.84997558593705</v>
      </c>
      <c r="W147" s="2">
        <v>387.39999389648398</v>
      </c>
      <c r="X147" s="2">
        <v>492.5</v>
      </c>
      <c r="Y147" s="2">
        <v>1657.59997558593</v>
      </c>
      <c r="Z147" s="2">
        <v>1645</v>
      </c>
      <c r="AA147" s="2">
        <v>1081</v>
      </c>
      <c r="AB147" s="2">
        <v>556.34997558593705</v>
      </c>
      <c r="AC147" s="2">
        <v>159.419998168945</v>
      </c>
      <c r="AD147" s="2">
        <v>119.699996948242</v>
      </c>
      <c r="AE147" s="2">
        <v>961.34997558593705</v>
      </c>
      <c r="AG147" s="2">
        <v>17662.150390625</v>
      </c>
      <c r="AH147" s="2">
        <v>59549.8984375</v>
      </c>
      <c r="AI147" s="2">
        <v>27894.98046875</v>
      </c>
    </row>
    <row r="148" spans="1:35" x14ac:dyDescent="0.3">
      <c r="A148" s="1">
        <v>44958</v>
      </c>
      <c r="B148" s="2">
        <v>70.849998474121094</v>
      </c>
      <c r="C148" s="2">
        <v>1144.90002441406</v>
      </c>
      <c r="D148" s="2">
        <v>2326.85009765625</v>
      </c>
      <c r="E148" s="2">
        <v>70.065963745117102</v>
      </c>
      <c r="F148" s="2">
        <v>432</v>
      </c>
      <c r="G148" s="2">
        <v>2254.64990234375</v>
      </c>
      <c r="H148" s="2">
        <v>25.049999237060501</v>
      </c>
      <c r="I148" s="2">
        <v>3896</v>
      </c>
      <c r="J148" s="2">
        <v>78.180000305175696</v>
      </c>
      <c r="K148" s="2">
        <v>217.5</v>
      </c>
      <c r="L148" s="2">
        <v>145.36999511718699</v>
      </c>
      <c r="M148" s="2">
        <v>6191.7998046875</v>
      </c>
      <c r="N148" s="2">
        <v>1018.59997558593</v>
      </c>
      <c r="O148" s="2">
        <v>75.900001525878906</v>
      </c>
      <c r="P148" s="2">
        <v>117.675003051757</v>
      </c>
      <c r="Q148" s="2">
        <v>234.55000305175699</v>
      </c>
      <c r="R148" s="2">
        <v>237.21000671386699</v>
      </c>
      <c r="S148" s="2">
        <v>19.4500007629394</v>
      </c>
      <c r="T148" s="2">
        <v>310.32501220703102</v>
      </c>
      <c r="U148" s="2">
        <v>69.154998779296804</v>
      </c>
      <c r="V148" s="2">
        <v>777.29998779296795</v>
      </c>
      <c r="W148" s="2">
        <v>384.79998779296801</v>
      </c>
      <c r="X148" s="2">
        <v>491.79998779296801</v>
      </c>
      <c r="Y148" s="2">
        <v>1641.65002441406</v>
      </c>
      <c r="Z148" s="2">
        <v>1582.30004882812</v>
      </c>
      <c r="AA148" s="2">
        <v>1052.34997558593</v>
      </c>
      <c r="AB148" s="2">
        <v>532.5</v>
      </c>
      <c r="AC148" s="2">
        <v>155.169998168945</v>
      </c>
      <c r="AD148" s="2">
        <v>122.050003051757</v>
      </c>
      <c r="AE148" s="2">
        <v>922.04998779296795</v>
      </c>
      <c r="AG148" s="2">
        <v>17616.30078125</v>
      </c>
      <c r="AH148" s="2">
        <v>59708.078125</v>
      </c>
      <c r="AI148" s="2">
        <v>27994.16015625</v>
      </c>
    </row>
    <row r="149" spans="1:35" x14ac:dyDescent="0.3">
      <c r="A149" s="1">
        <v>44959</v>
      </c>
      <c r="B149" s="2">
        <v>70.349998474121094</v>
      </c>
      <c r="C149" s="2">
        <v>1184.25</v>
      </c>
      <c r="D149" s="2">
        <v>2315.60009765625</v>
      </c>
      <c r="E149" s="2">
        <v>69.965965270996094</v>
      </c>
      <c r="F149" s="2">
        <v>432.29998779296801</v>
      </c>
      <c r="G149" s="2">
        <v>2254.10009765625</v>
      </c>
      <c r="H149" s="2">
        <v>25.100000381469702</v>
      </c>
      <c r="I149" s="2">
        <v>3861.94995117187</v>
      </c>
      <c r="J149" s="2">
        <v>78.319999694824205</v>
      </c>
      <c r="K149" s="2">
        <v>216.80000305175699</v>
      </c>
      <c r="L149" s="2">
        <v>147.99000549316401</v>
      </c>
      <c r="M149" s="2">
        <v>6099.39990234375</v>
      </c>
      <c r="N149" s="2">
        <v>1014.70001220703</v>
      </c>
      <c r="O149" s="2">
        <v>76.949996948242102</v>
      </c>
      <c r="P149" s="2">
        <v>105.925003051757</v>
      </c>
      <c r="Q149" s="2">
        <v>222.850006103515</v>
      </c>
      <c r="R149" s="2">
        <v>239.100006103515</v>
      </c>
      <c r="S149" s="2">
        <v>19.7000007629394</v>
      </c>
      <c r="T149" s="2">
        <v>314.100006103515</v>
      </c>
      <c r="U149" s="2">
        <v>69.175003051757798</v>
      </c>
      <c r="V149" s="2">
        <v>758.04998779296795</v>
      </c>
      <c r="W149" s="2">
        <v>381.29998779296801</v>
      </c>
      <c r="X149" s="2">
        <v>488.20001220703102</v>
      </c>
      <c r="Y149" s="2">
        <v>1685.94995117187</v>
      </c>
      <c r="Z149" s="2">
        <v>1580.19995117187</v>
      </c>
      <c r="AA149" s="2">
        <v>1006.59997558593</v>
      </c>
      <c r="AB149" s="2">
        <v>525.40002441406205</v>
      </c>
      <c r="AC149" s="2">
        <v>154.64999389648401</v>
      </c>
      <c r="AD149" s="2">
        <v>119.949996948242</v>
      </c>
      <c r="AE149" s="2">
        <v>905.04998779296795</v>
      </c>
      <c r="AG149" s="2">
        <v>17610.400390625</v>
      </c>
      <c r="AH149" s="2">
        <v>59932.23828125</v>
      </c>
      <c r="AI149" s="2">
        <v>27862.6796875</v>
      </c>
    </row>
    <row r="150" spans="1:35" x14ac:dyDescent="0.3">
      <c r="A150" s="1">
        <v>44960</v>
      </c>
      <c r="B150" s="2">
        <v>71</v>
      </c>
      <c r="C150" s="2">
        <v>1167.65002441406</v>
      </c>
      <c r="D150" s="2">
        <v>2325.85009765625</v>
      </c>
      <c r="E150" s="2">
        <v>69.765968322753906</v>
      </c>
      <c r="F150" s="2">
        <v>434.75</v>
      </c>
      <c r="G150" s="2">
        <v>2263.30004882812</v>
      </c>
      <c r="H150" s="2">
        <v>25.299999237060501</v>
      </c>
      <c r="I150" s="2">
        <v>3840.55004882812</v>
      </c>
      <c r="J150" s="2">
        <v>76.709999084472599</v>
      </c>
      <c r="K150" s="2">
        <v>223.55000305175699</v>
      </c>
      <c r="L150" s="2">
        <v>131.16000366210901</v>
      </c>
      <c r="M150" s="2">
        <v>6097.35009765625</v>
      </c>
      <c r="N150" s="2">
        <v>1014.09997558593</v>
      </c>
      <c r="O150" s="2">
        <v>76.900001525878906</v>
      </c>
      <c r="P150" s="2">
        <v>112.025001525878</v>
      </c>
      <c r="Q150" s="2">
        <v>211.75</v>
      </c>
      <c r="R150" s="2">
        <v>237.77000427246</v>
      </c>
      <c r="S150" s="2">
        <v>19.549999237060501</v>
      </c>
      <c r="T150" s="2">
        <v>308.29998779296801</v>
      </c>
      <c r="U150" s="2">
        <v>69.964996337890597</v>
      </c>
      <c r="V150" s="2">
        <v>753.29998779296795</v>
      </c>
      <c r="W150" s="2">
        <v>378.45001220703102</v>
      </c>
      <c r="X150" s="2">
        <v>484.64999389648398</v>
      </c>
      <c r="Y150" s="2">
        <v>1659</v>
      </c>
      <c r="Z150" s="2">
        <v>1580.34997558593</v>
      </c>
      <c r="AA150" s="2">
        <v>968.70001220703102</v>
      </c>
      <c r="AB150" s="2">
        <v>514.75</v>
      </c>
      <c r="AC150" s="2">
        <v>155.41000366210901</v>
      </c>
      <c r="AD150" s="2">
        <v>120.34999847412099</v>
      </c>
      <c r="AE150" s="2">
        <v>896.75</v>
      </c>
      <c r="AG150" s="2">
        <v>17854.05078125</v>
      </c>
      <c r="AH150" s="2">
        <v>60841.87890625</v>
      </c>
      <c r="AI150" s="2">
        <v>28000.369140625</v>
      </c>
    </row>
    <row r="151" spans="1:35" x14ac:dyDescent="0.3">
      <c r="A151" s="1">
        <v>44963</v>
      </c>
      <c r="B151" s="2">
        <v>66.199996948242102</v>
      </c>
      <c r="C151" s="2">
        <v>1186.80004882812</v>
      </c>
      <c r="D151" s="2">
        <v>2301.30004882812</v>
      </c>
      <c r="E151" s="2">
        <v>72.399276733398395</v>
      </c>
      <c r="F151" s="2">
        <v>429.5</v>
      </c>
      <c r="G151" s="2">
        <v>2258.30004882812</v>
      </c>
      <c r="H151" s="2">
        <v>25.924999237060501</v>
      </c>
      <c r="I151" s="2">
        <v>3764.85009765625</v>
      </c>
      <c r="J151" s="2">
        <v>75.319999694824205</v>
      </c>
      <c r="K151" s="2">
        <v>218.55000305175699</v>
      </c>
      <c r="L151" s="2">
        <v>127.52999877929599</v>
      </c>
      <c r="M151" s="2">
        <v>5999.39990234375</v>
      </c>
      <c r="N151" s="2">
        <v>1003.29998779296</v>
      </c>
      <c r="O151" s="2">
        <v>77.25</v>
      </c>
      <c r="P151" s="2">
        <v>111.425003051757</v>
      </c>
      <c r="Q151" s="2">
        <v>214.64999389648401</v>
      </c>
      <c r="R151" s="2">
        <v>238.86000061035099</v>
      </c>
      <c r="S151" s="2">
        <v>19</v>
      </c>
      <c r="T151" s="2">
        <v>306.67498779296801</v>
      </c>
      <c r="U151" s="2">
        <v>72.470001220703097</v>
      </c>
      <c r="V151" s="2">
        <v>741.70001220703102</v>
      </c>
      <c r="W151" s="2">
        <v>379.95001220703102</v>
      </c>
      <c r="X151" s="2">
        <v>489.100006103515</v>
      </c>
      <c r="Y151" s="2">
        <v>1666.80004882812</v>
      </c>
      <c r="Z151" s="2">
        <v>1588.80004882812</v>
      </c>
      <c r="AA151" s="2">
        <v>1017.09997558593</v>
      </c>
      <c r="AB151" s="2">
        <v>492.5</v>
      </c>
      <c r="AC151" s="2">
        <v>160.21499633789</v>
      </c>
      <c r="AD151" s="2">
        <v>117.449996948242</v>
      </c>
      <c r="AE151" s="2">
        <v>941.09997558593705</v>
      </c>
      <c r="AG151" s="2">
        <v>17764.599609375</v>
      </c>
      <c r="AH151" s="2">
        <v>60506.8984375</v>
      </c>
      <c r="AI151" s="2">
        <v>27956.740234375</v>
      </c>
    </row>
    <row r="152" spans="1:35" x14ac:dyDescent="0.3">
      <c r="A152" s="1">
        <v>44964</v>
      </c>
      <c r="B152" s="2">
        <v>62.5</v>
      </c>
      <c r="C152" s="2">
        <v>1180</v>
      </c>
      <c r="D152" s="2">
        <v>2172.30004882812</v>
      </c>
      <c r="E152" s="2">
        <v>71.232620239257798</v>
      </c>
      <c r="F152" s="2">
        <v>439.39999389648398</v>
      </c>
      <c r="G152" s="2">
        <v>2258.30004882812</v>
      </c>
      <c r="H152" s="2">
        <v>25.350000381469702</v>
      </c>
      <c r="I152" s="2">
        <v>3900.60009765625</v>
      </c>
      <c r="J152" s="2">
        <v>74.959999084472599</v>
      </c>
      <c r="K152" s="2">
        <v>218.19999694824199</v>
      </c>
      <c r="L152" s="2">
        <v>117.09999847412099</v>
      </c>
      <c r="M152" s="2">
        <v>5999.2998046875</v>
      </c>
      <c r="N152" s="2">
        <v>1006.20001220703</v>
      </c>
      <c r="O152" s="2">
        <v>75.599998474121094</v>
      </c>
      <c r="P152" s="2">
        <v>114.72499847412099</v>
      </c>
      <c r="Q152" s="2">
        <v>216.94999694824199</v>
      </c>
      <c r="R152" s="2">
        <v>238.61999511718699</v>
      </c>
      <c r="S152" s="2">
        <v>18.600000381469702</v>
      </c>
      <c r="T152" s="2">
        <v>304.625</v>
      </c>
      <c r="U152" s="2">
        <v>72.620002746582003</v>
      </c>
      <c r="V152" s="2">
        <v>721.25</v>
      </c>
      <c r="W152" s="2">
        <v>390.89999389648398</v>
      </c>
      <c r="X152" s="2">
        <v>488.600006103515</v>
      </c>
      <c r="Y152" s="2">
        <v>1629.69995117187</v>
      </c>
      <c r="Z152" s="2">
        <v>1593.84997558593</v>
      </c>
      <c r="AA152" s="2">
        <v>1067.94995117187</v>
      </c>
      <c r="AB152" s="2">
        <v>489.29998779296801</v>
      </c>
      <c r="AC152" s="2">
        <v>158.25</v>
      </c>
      <c r="AD152" s="2">
        <v>111.449996948242</v>
      </c>
      <c r="AE152" s="2">
        <v>923.20001220703102</v>
      </c>
      <c r="AG152" s="2">
        <v>17721.5</v>
      </c>
      <c r="AH152" s="2">
        <v>60286.0390625</v>
      </c>
      <c r="AI152" s="2">
        <v>28169.619140625</v>
      </c>
    </row>
    <row r="153" spans="1:35" x14ac:dyDescent="0.3">
      <c r="A153" s="1">
        <v>44965</v>
      </c>
      <c r="B153" s="2">
        <v>60.849998474121001</v>
      </c>
      <c r="C153" s="2">
        <v>1183.69995117187</v>
      </c>
      <c r="D153" s="2">
        <v>2193.35009765625</v>
      </c>
      <c r="E153" s="2">
        <v>71.465950012207003</v>
      </c>
      <c r="F153" s="2">
        <v>433.850006103515</v>
      </c>
      <c r="G153" s="2">
        <v>2260.35009765625</v>
      </c>
      <c r="H153" s="2">
        <v>25.100000381469702</v>
      </c>
      <c r="I153" s="2">
        <v>3972.85009765625</v>
      </c>
      <c r="J153" s="2">
        <v>77.199996948242102</v>
      </c>
      <c r="K153" s="2">
        <v>218.89999389648401</v>
      </c>
      <c r="L153" s="2">
        <v>122.470001220703</v>
      </c>
      <c r="M153" s="2">
        <v>5995.14990234375</v>
      </c>
      <c r="N153" s="2">
        <v>1016.70001220703</v>
      </c>
      <c r="O153" s="2">
        <v>77.300003051757798</v>
      </c>
      <c r="P153" s="2">
        <v>125.324996948242</v>
      </c>
      <c r="Q153" s="2">
        <v>227.75</v>
      </c>
      <c r="R153" s="2">
        <v>239.28999328613199</v>
      </c>
      <c r="S153" s="2">
        <v>18.350000381469702</v>
      </c>
      <c r="T153" s="2">
        <v>321.04998779296801</v>
      </c>
      <c r="U153" s="2">
        <v>74.540000915527301</v>
      </c>
      <c r="V153" s="2">
        <v>716.04998779296795</v>
      </c>
      <c r="W153" s="2">
        <v>396.14999389648398</v>
      </c>
      <c r="X153" s="2">
        <v>492.75</v>
      </c>
      <c r="Y153" s="2">
        <v>1611.30004882812</v>
      </c>
      <c r="Z153" s="2">
        <v>1547.40002441406</v>
      </c>
      <c r="AA153" s="2">
        <v>1081.55004882812</v>
      </c>
      <c r="AB153" s="2">
        <v>488.850006103515</v>
      </c>
      <c r="AC153" s="2">
        <v>159.975006103515</v>
      </c>
      <c r="AD153" s="2">
        <v>111.449996948242</v>
      </c>
      <c r="AE153" s="2">
        <v>959.5</v>
      </c>
      <c r="AG153" s="2">
        <v>17871.69921875</v>
      </c>
      <c r="AH153" s="2">
        <v>60663.7890625</v>
      </c>
      <c r="AI153" s="2">
        <v>28127.41015625</v>
      </c>
    </row>
    <row r="154" spans="1:35" x14ac:dyDescent="0.3">
      <c r="A154" s="1">
        <v>44966</v>
      </c>
      <c r="B154" s="2">
        <v>60.650001525878899</v>
      </c>
      <c r="C154" s="2">
        <v>1199</v>
      </c>
      <c r="D154" s="2">
        <v>2199.10009765625</v>
      </c>
      <c r="E154" s="2">
        <v>71.199287414550696</v>
      </c>
      <c r="F154" s="2">
        <v>433.79998779296801</v>
      </c>
      <c r="G154" s="2">
        <v>2252.05004882812</v>
      </c>
      <c r="H154" s="2">
        <v>26.475000381469702</v>
      </c>
      <c r="I154" s="2">
        <v>3879.89990234375</v>
      </c>
      <c r="J154" s="2">
        <v>77.419998168945298</v>
      </c>
      <c r="K154" s="2">
        <v>218.69999694824199</v>
      </c>
      <c r="L154" s="2">
        <v>123.300003051757</v>
      </c>
      <c r="M154" s="2">
        <v>6047.64990234375</v>
      </c>
      <c r="N154" s="2">
        <v>1038.75</v>
      </c>
      <c r="O154" s="2">
        <v>70.5</v>
      </c>
      <c r="P154" s="2">
        <v>117.199996948242</v>
      </c>
      <c r="Q154" s="2">
        <v>216.55000305175699</v>
      </c>
      <c r="R154" s="2">
        <v>239.69000244140599</v>
      </c>
      <c r="S154" s="2">
        <v>18.9500007629394</v>
      </c>
      <c r="T154" s="2">
        <v>326.20001220703102</v>
      </c>
      <c r="U154" s="2">
        <v>74.205001831054602</v>
      </c>
      <c r="V154" s="2">
        <v>712.29998779296795</v>
      </c>
      <c r="W154" s="2">
        <v>389.64999389648398</v>
      </c>
      <c r="X154" s="2">
        <v>490</v>
      </c>
      <c r="Y154" s="2">
        <v>1586.30004882812</v>
      </c>
      <c r="Z154" s="2">
        <v>1584.15002441406</v>
      </c>
      <c r="AA154" s="2">
        <v>1073.55004882812</v>
      </c>
      <c r="AB154" s="2">
        <v>486.54998779296801</v>
      </c>
      <c r="AC154" s="2">
        <v>160.48500061035099</v>
      </c>
      <c r="AD154" s="2">
        <v>111.25</v>
      </c>
      <c r="AE154" s="2">
        <v>964.25</v>
      </c>
      <c r="AG154" s="2">
        <v>17893.44921875</v>
      </c>
      <c r="AH154" s="2">
        <v>60806.21875</v>
      </c>
      <c r="AI154" s="2">
        <v>28263.05078125</v>
      </c>
    </row>
    <row r="155" spans="1:35" x14ac:dyDescent="0.3">
      <c r="A155" s="1">
        <v>44967</v>
      </c>
      <c r="B155" s="2">
        <v>63.849998474121001</v>
      </c>
      <c r="C155" s="2">
        <v>1192.05004882812</v>
      </c>
      <c r="D155" s="2">
        <v>2169</v>
      </c>
      <c r="E155" s="2">
        <v>71.299285888671804</v>
      </c>
      <c r="F155" s="2">
        <v>430.95001220703102</v>
      </c>
      <c r="G155" s="2">
        <v>2272.44995117187</v>
      </c>
      <c r="H155" s="2">
        <v>25.774999618530199</v>
      </c>
      <c r="I155" s="2">
        <v>3883.94995117187</v>
      </c>
      <c r="J155" s="2">
        <v>75.930000305175696</v>
      </c>
      <c r="K155" s="2">
        <v>217.850006103515</v>
      </c>
      <c r="L155" s="2">
        <v>122.629997253417</v>
      </c>
      <c r="M155" s="2">
        <v>6004.4501953125</v>
      </c>
      <c r="N155" s="2">
        <v>1025.25</v>
      </c>
      <c r="O155" s="2">
        <v>68.5</v>
      </c>
      <c r="P155" s="2">
        <v>120.824996948242</v>
      </c>
      <c r="Q155" s="2">
        <v>208.64999389648401</v>
      </c>
      <c r="R155" s="2">
        <v>249.94000244140599</v>
      </c>
      <c r="S155" s="2">
        <v>18.600000381469702</v>
      </c>
      <c r="T155" s="2">
        <v>328.04998779296801</v>
      </c>
      <c r="U155" s="2">
        <v>69.955001831054602</v>
      </c>
      <c r="V155" s="2">
        <v>746.84997558593705</v>
      </c>
      <c r="W155" s="2">
        <v>390.54998779296801</v>
      </c>
      <c r="X155" s="2">
        <v>487.54998779296801</v>
      </c>
      <c r="Y155" s="2">
        <v>1577.55004882812</v>
      </c>
      <c r="Z155" s="2">
        <v>1570</v>
      </c>
      <c r="AA155" s="2">
        <v>1065.55004882812</v>
      </c>
      <c r="AB155" s="2">
        <v>486.600006103515</v>
      </c>
      <c r="AC155" s="2">
        <v>161.58999633789</v>
      </c>
      <c r="AD155" s="2">
        <v>108.800003051757</v>
      </c>
      <c r="AE155" s="2">
        <v>987.40002441406205</v>
      </c>
      <c r="AG155" s="2">
        <v>17856.5</v>
      </c>
      <c r="AH155" s="2">
        <v>60682.69921875</v>
      </c>
      <c r="AI155" s="2">
        <v>27932.150390625</v>
      </c>
    </row>
    <row r="156" spans="1:35" x14ac:dyDescent="0.3">
      <c r="A156" s="1">
        <v>44970</v>
      </c>
      <c r="B156" s="2">
        <v>63.400001525878899</v>
      </c>
      <c r="C156" s="2">
        <v>1201.15002441406</v>
      </c>
      <c r="D156" s="2">
        <v>2190.44995117187</v>
      </c>
      <c r="E156" s="2">
        <v>72.565940856933594</v>
      </c>
      <c r="F156" s="2">
        <v>416.600006103515</v>
      </c>
      <c r="G156" s="2">
        <v>2276.39990234375</v>
      </c>
      <c r="H156" s="2">
        <v>25.299999237060501</v>
      </c>
      <c r="I156" s="2">
        <v>4006.30004882812</v>
      </c>
      <c r="J156" s="2">
        <v>72.419998168945298</v>
      </c>
      <c r="K156" s="2">
        <v>211.19999694824199</v>
      </c>
      <c r="L156" s="2">
        <v>122.09999847412099</v>
      </c>
      <c r="M156" s="2">
        <v>6024</v>
      </c>
      <c r="N156" s="2">
        <v>1017.54998779296</v>
      </c>
      <c r="O156" s="2">
        <v>68.050003051757798</v>
      </c>
      <c r="P156" s="2">
        <v>118.300003051757</v>
      </c>
      <c r="Q156" s="2">
        <v>198.25</v>
      </c>
      <c r="R156" s="2">
        <v>241.30999755859301</v>
      </c>
      <c r="S156" s="2">
        <v>18.600000381469702</v>
      </c>
      <c r="T156" s="2">
        <v>329.25</v>
      </c>
      <c r="U156" s="2">
        <v>68.444999694824205</v>
      </c>
      <c r="V156" s="2">
        <v>773.15002441406205</v>
      </c>
      <c r="W156" s="2">
        <v>389.20001220703102</v>
      </c>
      <c r="X156" s="2">
        <v>485.89999389648398</v>
      </c>
      <c r="Y156" s="2">
        <v>1569.25</v>
      </c>
      <c r="Z156" s="2">
        <v>1579.65002441406</v>
      </c>
      <c r="AA156" s="2">
        <v>1082.69995117187</v>
      </c>
      <c r="AB156" s="2">
        <v>488.100006103515</v>
      </c>
      <c r="AC156" s="2">
        <v>173.16000366210901</v>
      </c>
      <c r="AD156" s="2">
        <v>108.75</v>
      </c>
      <c r="AE156" s="2">
        <v>948.20001220703102</v>
      </c>
      <c r="AG156" s="2">
        <v>17770.900390625</v>
      </c>
      <c r="AH156" s="2">
        <v>60431.83984375</v>
      </c>
      <c r="AI156" s="2">
        <v>27761.380859375</v>
      </c>
    </row>
    <row r="157" spans="1:35" x14ac:dyDescent="0.3">
      <c r="A157" s="1">
        <v>44971</v>
      </c>
      <c r="B157" s="2">
        <v>61.799999237060497</v>
      </c>
      <c r="C157" s="2">
        <v>1213.55004882812</v>
      </c>
      <c r="D157" s="2">
        <v>2155.64990234375</v>
      </c>
      <c r="E157" s="2">
        <v>70.065963745117102</v>
      </c>
      <c r="F157" s="2">
        <v>415.20001220703102</v>
      </c>
      <c r="G157" s="2">
        <v>2265.5</v>
      </c>
      <c r="H157" s="2">
        <v>25.125</v>
      </c>
      <c r="I157" s="2">
        <v>4045.94995117187</v>
      </c>
      <c r="J157" s="2">
        <v>70.330001831054602</v>
      </c>
      <c r="K157" s="2">
        <v>204.69999694824199</v>
      </c>
      <c r="L157" s="2">
        <v>122.879997253417</v>
      </c>
      <c r="M157" s="2">
        <v>6018.5498046875</v>
      </c>
      <c r="N157" s="2">
        <v>1044.65002441406</v>
      </c>
      <c r="O157" s="2">
        <v>65.650001525878906</v>
      </c>
      <c r="P157" s="2">
        <v>117.47499847412099</v>
      </c>
      <c r="Q157" s="2">
        <v>188.350006103515</v>
      </c>
      <c r="R157" s="2">
        <v>240.669998168945</v>
      </c>
      <c r="S157" s="2">
        <v>18.5</v>
      </c>
      <c r="T157" s="2">
        <v>327.32501220703102</v>
      </c>
      <c r="U157" s="2">
        <v>67.504997253417898</v>
      </c>
      <c r="V157" s="2">
        <v>737.34997558593705</v>
      </c>
      <c r="W157" s="2">
        <v>388.850006103515</v>
      </c>
      <c r="X157" s="2">
        <v>483.14999389648398</v>
      </c>
      <c r="Y157" s="2">
        <v>1569</v>
      </c>
      <c r="Z157" s="2">
        <v>1565.40002441406</v>
      </c>
      <c r="AA157" s="2">
        <v>1071.05004882812</v>
      </c>
      <c r="AB157" s="2">
        <v>476.70001220703102</v>
      </c>
      <c r="AC157" s="2">
        <v>169.384994506835</v>
      </c>
      <c r="AD157" s="2">
        <v>109.25</v>
      </c>
      <c r="AE157" s="2">
        <v>936.75</v>
      </c>
      <c r="AG157" s="2">
        <v>17929.849609375</v>
      </c>
      <c r="AH157" s="2">
        <v>61032.26171875</v>
      </c>
      <c r="AI157" s="2">
        <v>27861.859375</v>
      </c>
    </row>
    <row r="158" spans="1:35" x14ac:dyDescent="0.3">
      <c r="A158" s="1">
        <v>44972</v>
      </c>
      <c r="B158" s="2">
        <v>61.25</v>
      </c>
      <c r="C158" s="2">
        <v>1232.90002441406</v>
      </c>
      <c r="D158" s="2">
        <v>2133.94995117187</v>
      </c>
      <c r="E158" s="2">
        <v>70.465957641601506</v>
      </c>
      <c r="F158" s="2">
        <v>419.45001220703102</v>
      </c>
      <c r="G158" s="2">
        <v>2301.30004882812</v>
      </c>
      <c r="H158" s="2">
        <v>24.8250007629394</v>
      </c>
      <c r="I158" s="2">
        <v>4049.35009765625</v>
      </c>
      <c r="J158" s="2">
        <v>71.419998168945298</v>
      </c>
      <c r="K158" s="2">
        <v>203</v>
      </c>
      <c r="L158" s="2">
        <v>123.61000061035099</v>
      </c>
      <c r="M158" s="2">
        <v>6005.7001953125</v>
      </c>
      <c r="N158" s="2">
        <v>959.5</v>
      </c>
      <c r="O158" s="2">
        <v>66.599998474121094</v>
      </c>
      <c r="P158" s="2">
        <v>116.875</v>
      </c>
      <c r="Q158" s="2">
        <v>197.19999694824199</v>
      </c>
      <c r="R158" s="2">
        <v>245.759994506835</v>
      </c>
      <c r="S158" s="2">
        <v>18.5</v>
      </c>
      <c r="T158" s="2">
        <v>329.92498779296801</v>
      </c>
      <c r="U158" s="2">
        <v>67.819999694824205</v>
      </c>
      <c r="V158" s="2">
        <v>733.09997558593705</v>
      </c>
      <c r="W158" s="2">
        <v>383.95001220703102</v>
      </c>
      <c r="X158" s="2">
        <v>482.350006103515</v>
      </c>
      <c r="Y158" s="2">
        <v>1592.44995117187</v>
      </c>
      <c r="Z158" s="2">
        <v>1594.65002441406</v>
      </c>
      <c r="AA158" s="2">
        <v>1057.65002441406</v>
      </c>
      <c r="AB158" s="2">
        <v>474.95001220703102</v>
      </c>
      <c r="AC158" s="2">
        <v>172.33999633789</v>
      </c>
      <c r="AD158" s="2">
        <v>110.300003051757</v>
      </c>
      <c r="AE158" s="2">
        <v>942.45001220703102</v>
      </c>
      <c r="AG158" s="2">
        <v>18015.849609375</v>
      </c>
      <c r="AH158" s="2">
        <v>61275.08984375</v>
      </c>
      <c r="AI158" s="2">
        <v>28112.759765625</v>
      </c>
    </row>
    <row r="159" spans="1:35" x14ac:dyDescent="0.3">
      <c r="A159" s="1">
        <v>44973</v>
      </c>
      <c r="B159" s="2">
        <v>61.25</v>
      </c>
      <c r="C159" s="2">
        <v>1319.94995117187</v>
      </c>
      <c r="D159" s="2">
        <v>2209.85009765625</v>
      </c>
      <c r="E159" s="2">
        <v>70.065963745117102</v>
      </c>
      <c r="F159" s="2">
        <v>417.70001220703102</v>
      </c>
      <c r="G159" s="2">
        <v>2295.14990234375</v>
      </c>
      <c r="H159" s="2">
        <v>24.899999618530199</v>
      </c>
      <c r="I159" s="2">
        <v>4081.60009765625</v>
      </c>
      <c r="J159" s="2">
        <v>72.410003662109304</v>
      </c>
      <c r="K159" s="2">
        <v>207.05000305175699</v>
      </c>
      <c r="L159" s="2">
        <v>125.08000183105401</v>
      </c>
      <c r="M159" s="2">
        <v>5914</v>
      </c>
      <c r="N159" s="2">
        <v>964</v>
      </c>
      <c r="O159" s="2">
        <v>67.550003051757798</v>
      </c>
      <c r="P159" s="2">
        <v>117.675003051757</v>
      </c>
      <c r="Q159" s="2">
        <v>207.05000305175699</v>
      </c>
      <c r="R159" s="2">
        <v>241.02999877929599</v>
      </c>
      <c r="S159" s="2">
        <v>18.850000381469702</v>
      </c>
      <c r="T159" s="2">
        <v>336.32501220703102</v>
      </c>
      <c r="U159" s="2">
        <v>67.775001525878906</v>
      </c>
      <c r="V159" s="2">
        <v>753.90002441406205</v>
      </c>
      <c r="W159" s="2">
        <v>379</v>
      </c>
      <c r="X159" s="2">
        <v>486.29998779296801</v>
      </c>
      <c r="Y159" s="2">
        <v>1580.55004882812</v>
      </c>
      <c r="Z159" s="2">
        <v>1607.40002441406</v>
      </c>
      <c r="AA159" s="2">
        <v>1045.05004882812</v>
      </c>
      <c r="AB159" s="2">
        <v>474.54998779296801</v>
      </c>
      <c r="AC159" s="2">
        <v>166.03999328613199</v>
      </c>
      <c r="AD159" s="2">
        <v>112</v>
      </c>
      <c r="AE159" s="2">
        <v>924.75</v>
      </c>
      <c r="AG159" s="2">
        <v>18035.849609375</v>
      </c>
      <c r="AH159" s="2">
        <v>61319.51171875</v>
      </c>
      <c r="AI159" s="2">
        <v>28046.400390625</v>
      </c>
    </row>
    <row r="160" spans="1:35" x14ac:dyDescent="0.3">
      <c r="A160" s="1">
        <v>44974</v>
      </c>
      <c r="B160" s="2">
        <v>61.599998474121001</v>
      </c>
      <c r="C160" s="2">
        <v>1288.5</v>
      </c>
      <c r="D160" s="2">
        <v>2220.25</v>
      </c>
      <c r="E160" s="2">
        <v>69.599304199218693</v>
      </c>
      <c r="F160" s="2">
        <v>416.70001220703102</v>
      </c>
      <c r="G160" s="2">
        <v>2300</v>
      </c>
      <c r="H160" s="2">
        <v>24.549999237060501</v>
      </c>
      <c r="I160" s="2">
        <v>4103.85009765625</v>
      </c>
      <c r="J160" s="2">
        <v>72.639999389648395</v>
      </c>
      <c r="K160" s="2">
        <v>207.39999389648401</v>
      </c>
      <c r="L160" s="2">
        <v>122.449996948242</v>
      </c>
      <c r="M160" s="2">
        <v>5990</v>
      </c>
      <c r="N160" s="2">
        <v>938.40002441406205</v>
      </c>
      <c r="O160" s="2">
        <v>67.599998474121094</v>
      </c>
      <c r="P160" s="2">
        <v>116</v>
      </c>
      <c r="Q160" s="2">
        <v>217.39999389648401</v>
      </c>
      <c r="R160" s="2">
        <v>238.97000122070301</v>
      </c>
      <c r="S160" s="2">
        <v>19.100000381469702</v>
      </c>
      <c r="T160" s="2">
        <v>340.375</v>
      </c>
      <c r="U160" s="2">
        <v>67.360000610351506</v>
      </c>
      <c r="V160" s="2">
        <v>747.25</v>
      </c>
      <c r="W160" s="2">
        <v>380.04998779296801</v>
      </c>
      <c r="X160" s="2">
        <v>482.45001220703102</v>
      </c>
      <c r="Y160" s="2">
        <v>1590</v>
      </c>
      <c r="Z160" s="2">
        <v>1610</v>
      </c>
      <c r="AA160" s="2">
        <v>1040.44995117187</v>
      </c>
      <c r="AB160" s="2">
        <v>474.29998779296801</v>
      </c>
      <c r="AC160" s="2">
        <v>163.90499877929599</v>
      </c>
      <c r="AD160" s="2">
        <v>112.25</v>
      </c>
      <c r="AE160" s="2">
        <v>920.65002441406205</v>
      </c>
      <c r="AG160" s="2">
        <v>17944.19921875</v>
      </c>
      <c r="AH160" s="2">
        <v>61002.5703125</v>
      </c>
      <c r="AI160" s="2">
        <v>28002.26953125</v>
      </c>
    </row>
    <row r="161" spans="1:35" x14ac:dyDescent="0.3">
      <c r="A161" s="1">
        <v>44977</v>
      </c>
      <c r="B161" s="2">
        <v>60.700000762939403</v>
      </c>
      <c r="C161" s="2">
        <v>1266.30004882812</v>
      </c>
      <c r="D161" s="2">
        <v>2177.85009765625</v>
      </c>
      <c r="E161" s="2">
        <v>69.132644653320298</v>
      </c>
      <c r="F161" s="2">
        <v>406.29998779296801</v>
      </c>
      <c r="G161" s="2">
        <v>2299.35009765625</v>
      </c>
      <c r="H161" s="2">
        <v>23.924999237060501</v>
      </c>
      <c r="I161" s="2">
        <v>4080.30004882812</v>
      </c>
      <c r="J161" s="2">
        <v>72.330001831054602</v>
      </c>
      <c r="K161" s="2">
        <v>212.39999389648401</v>
      </c>
      <c r="L161" s="2">
        <v>131.350006103515</v>
      </c>
      <c r="M161" s="2">
        <v>5972.7998046875</v>
      </c>
      <c r="N161" s="2">
        <v>936.5</v>
      </c>
      <c r="O161" s="2">
        <v>67.75</v>
      </c>
      <c r="P161" s="2">
        <v>115.59999847412099</v>
      </c>
      <c r="Q161" s="2">
        <v>209.25</v>
      </c>
      <c r="R161" s="2">
        <v>239.82000732421801</v>
      </c>
      <c r="S161" s="2">
        <v>18.7000007629394</v>
      </c>
      <c r="T161" s="2">
        <v>368.52499389648398</v>
      </c>
      <c r="U161" s="2">
        <v>67.580001831054602</v>
      </c>
      <c r="V161" s="2">
        <v>755.79998779296795</v>
      </c>
      <c r="W161" s="2">
        <v>370.600006103515</v>
      </c>
      <c r="X161" s="2">
        <v>481.350006103515</v>
      </c>
      <c r="Y161" s="2">
        <v>1588.65002441406</v>
      </c>
      <c r="Z161" s="2">
        <v>1609.94995117187</v>
      </c>
      <c r="AA161" s="2">
        <v>1016.04998779296</v>
      </c>
      <c r="AB161" s="2">
        <v>474.25</v>
      </c>
      <c r="AC161" s="2">
        <v>161.07000732421801</v>
      </c>
      <c r="AD161" s="2">
        <v>112.34999847412099</v>
      </c>
      <c r="AE161" s="2">
        <v>903.29998779296795</v>
      </c>
      <c r="AG161" s="2">
        <v>17844.599609375</v>
      </c>
      <c r="AH161" s="2">
        <v>60691.5390625</v>
      </c>
      <c r="AI161" s="2">
        <v>27914.41015625</v>
      </c>
    </row>
    <row r="162" spans="1:35" x14ac:dyDescent="0.3">
      <c r="A162" s="1">
        <v>44978</v>
      </c>
      <c r="B162" s="2">
        <v>60.25</v>
      </c>
      <c r="C162" s="2">
        <v>1274.69995117187</v>
      </c>
      <c r="D162" s="2">
        <v>2199.35009765625</v>
      </c>
      <c r="E162" s="2">
        <v>69.632637023925696</v>
      </c>
      <c r="F162" s="2">
        <v>400.850006103515</v>
      </c>
      <c r="G162" s="2">
        <v>2296.75</v>
      </c>
      <c r="H162" s="2">
        <v>24.2000007629394</v>
      </c>
      <c r="I162" s="2">
        <v>4093.14990234375</v>
      </c>
      <c r="J162" s="2">
        <v>74.959999084472599</v>
      </c>
      <c r="K162" s="2">
        <v>212.44999694824199</v>
      </c>
      <c r="L162" s="2">
        <v>134.5</v>
      </c>
      <c r="M162" s="2">
        <v>5942.35009765625</v>
      </c>
      <c r="N162" s="2">
        <v>931.75</v>
      </c>
      <c r="O162" s="2">
        <v>67.949996948242102</v>
      </c>
      <c r="P162" s="2">
        <v>111.34999847412099</v>
      </c>
      <c r="Q162" s="2">
        <v>210.69999694824199</v>
      </c>
      <c r="R162" s="2">
        <v>237.74000549316401</v>
      </c>
      <c r="S162" s="2">
        <v>18.5</v>
      </c>
      <c r="T162" s="2">
        <v>360.14999389648398</v>
      </c>
      <c r="U162" s="2">
        <v>67.239997863769503</v>
      </c>
      <c r="V162" s="2">
        <v>754.70001220703102</v>
      </c>
      <c r="W162" s="2">
        <v>366</v>
      </c>
      <c r="X162" s="2">
        <v>480.350006103515</v>
      </c>
      <c r="Y162" s="2">
        <v>1572.15002441406</v>
      </c>
      <c r="Z162" s="2">
        <v>1581.25</v>
      </c>
      <c r="AA162" s="2">
        <v>1000.59997558593</v>
      </c>
      <c r="AB162" s="2">
        <v>478.600006103515</v>
      </c>
      <c r="AC162" s="2">
        <v>156.26499938964801</v>
      </c>
      <c r="AD162" s="2">
        <v>113.150001525878</v>
      </c>
      <c r="AE162" s="2">
        <v>883.65002441406205</v>
      </c>
      <c r="AG162" s="2">
        <v>17826.69921875</v>
      </c>
      <c r="AH162" s="2">
        <v>60672.71875</v>
      </c>
      <c r="AI162" s="2">
        <v>27610.3203125</v>
      </c>
    </row>
    <row r="163" spans="1:35" x14ac:dyDescent="0.3">
      <c r="A163" s="1">
        <v>44979</v>
      </c>
      <c r="B163" s="2">
        <v>60.150001525878899</v>
      </c>
      <c r="C163" s="2">
        <v>1270.30004882812</v>
      </c>
      <c r="D163" s="2">
        <v>2171.35009765625</v>
      </c>
      <c r="E163" s="2">
        <v>70.665962219238196</v>
      </c>
      <c r="F163" s="2">
        <v>395.5</v>
      </c>
      <c r="G163" s="2">
        <v>2302.5</v>
      </c>
      <c r="H163" s="2">
        <v>23.524999618530199</v>
      </c>
      <c r="I163" s="2">
        <v>3992.39990234375</v>
      </c>
      <c r="J163" s="2">
        <v>73.129997253417898</v>
      </c>
      <c r="K163" s="2">
        <v>214.14999389648401</v>
      </c>
      <c r="L163" s="2">
        <v>134.33999633789</v>
      </c>
      <c r="M163" s="2">
        <v>5919.60009765625</v>
      </c>
      <c r="N163" s="2">
        <v>931.34997558593705</v>
      </c>
      <c r="O163" s="2">
        <v>67.400001525878906</v>
      </c>
      <c r="P163" s="2">
        <v>104.150001525878</v>
      </c>
      <c r="Q163" s="2">
        <v>201.89999389648401</v>
      </c>
      <c r="R163" s="2">
        <v>236.58000183105401</v>
      </c>
      <c r="S163" s="2">
        <v>18.25</v>
      </c>
      <c r="T163" s="2">
        <v>345.100006103515</v>
      </c>
      <c r="U163" s="2">
        <v>66.875</v>
      </c>
      <c r="V163" s="2">
        <v>756.5</v>
      </c>
      <c r="W163" s="2">
        <v>375.64999389648398</v>
      </c>
      <c r="X163" s="2">
        <v>478.54998779296801</v>
      </c>
      <c r="Y163" s="2">
        <v>1576</v>
      </c>
      <c r="Z163" s="2">
        <v>1599.19995117187</v>
      </c>
      <c r="AA163" s="2">
        <v>971.95001220703102</v>
      </c>
      <c r="AB163" s="2">
        <v>473.95001220703102</v>
      </c>
      <c r="AC163" s="2">
        <v>152.33999633789</v>
      </c>
      <c r="AD163" s="2">
        <v>111.150001525878</v>
      </c>
      <c r="AE163" s="2">
        <v>900.20001220703102</v>
      </c>
      <c r="AG163" s="2">
        <v>17554.30078125</v>
      </c>
      <c r="AH163" s="2">
        <v>59744.98046875</v>
      </c>
      <c r="AI163" s="2">
        <v>27626.560546875</v>
      </c>
    </row>
    <row r="164" spans="1:35" x14ac:dyDescent="0.3">
      <c r="A164" s="1">
        <v>44980</v>
      </c>
      <c r="B164" s="2">
        <v>59.849998474121001</v>
      </c>
      <c r="C164" s="2">
        <v>1261.65002441406</v>
      </c>
      <c r="D164" s="2">
        <v>2156.10009765625</v>
      </c>
      <c r="E164" s="2">
        <v>70.232627868652301</v>
      </c>
      <c r="F164" s="2">
        <v>395</v>
      </c>
      <c r="G164" s="2">
        <v>2300.25</v>
      </c>
      <c r="H164" s="2">
        <v>23.649999618530199</v>
      </c>
      <c r="I164" s="2">
        <v>4075.35009765625</v>
      </c>
      <c r="J164" s="2">
        <v>72.150001525878906</v>
      </c>
      <c r="K164" s="2">
        <v>212</v>
      </c>
      <c r="L164" s="2">
        <v>133.89999389648401</v>
      </c>
      <c r="M164" s="2">
        <v>5902.89990234375</v>
      </c>
      <c r="N164" s="2">
        <v>922.70001220703102</v>
      </c>
      <c r="O164" s="2">
        <v>68.349998474121094</v>
      </c>
      <c r="P164" s="2">
        <v>104.09999847412099</v>
      </c>
      <c r="Q164" s="2">
        <v>198.75</v>
      </c>
      <c r="R164" s="2">
        <v>236.25</v>
      </c>
      <c r="S164" s="2">
        <v>18.2000007629394</v>
      </c>
      <c r="T164" s="2">
        <v>363.82501220703102</v>
      </c>
      <c r="U164" s="2">
        <v>66.069999694824205</v>
      </c>
      <c r="V164" s="2">
        <v>744.59997558593705</v>
      </c>
      <c r="W164" s="2">
        <v>390.45001220703102</v>
      </c>
      <c r="X164" s="2">
        <v>478.850006103515</v>
      </c>
      <c r="Y164" s="2">
        <v>1573</v>
      </c>
      <c r="Z164" s="2">
        <v>1590.25</v>
      </c>
      <c r="AA164" s="2">
        <v>989.90002441406205</v>
      </c>
      <c r="AB164" s="2">
        <v>467.14999389648398</v>
      </c>
      <c r="AC164" s="2">
        <v>152.02499389648401</v>
      </c>
      <c r="AD164" s="2">
        <v>112.050003051757</v>
      </c>
      <c r="AE164" s="2">
        <v>889.70001220703102</v>
      </c>
      <c r="AG164" s="2">
        <v>17511.25</v>
      </c>
      <c r="AH164" s="2">
        <v>59605.80078125</v>
      </c>
      <c r="AI164" s="2">
        <v>27584.58984375</v>
      </c>
    </row>
    <row r="165" spans="1:35" x14ac:dyDescent="0.3">
      <c r="A165" s="1">
        <v>44981</v>
      </c>
      <c r="B165" s="2">
        <v>59.599998474121001</v>
      </c>
      <c r="C165" s="2">
        <v>1221.80004882812</v>
      </c>
      <c r="D165" s="2">
        <v>2156.69995117187</v>
      </c>
      <c r="E165" s="2">
        <v>69.399307250976506</v>
      </c>
      <c r="F165" s="2">
        <v>384.100006103515</v>
      </c>
      <c r="G165" s="2">
        <v>2292.80004882812</v>
      </c>
      <c r="H165" s="2">
        <v>23.625</v>
      </c>
      <c r="I165" s="2">
        <v>3967.05004882812</v>
      </c>
      <c r="J165" s="2">
        <v>71.389999389648395</v>
      </c>
      <c r="K165" s="2">
        <v>212.89999389648401</v>
      </c>
      <c r="L165" s="2">
        <v>132.13999938964801</v>
      </c>
      <c r="M165" s="2">
        <v>5890.7998046875</v>
      </c>
      <c r="N165" s="2">
        <v>918.09997558593705</v>
      </c>
      <c r="O165" s="2">
        <v>67.400001525878906</v>
      </c>
      <c r="P165" s="2">
        <v>97.824996948242102</v>
      </c>
      <c r="Q165" s="2">
        <v>190.69999694824199</v>
      </c>
      <c r="R165" s="2">
        <v>237.30999755859301</v>
      </c>
      <c r="S165" s="2">
        <v>18.149999618530199</v>
      </c>
      <c r="T165" s="2">
        <v>353.14999389648398</v>
      </c>
      <c r="U165" s="2">
        <v>65.864997863769503</v>
      </c>
      <c r="V165" s="2">
        <v>737.54998779296795</v>
      </c>
      <c r="W165" s="2">
        <v>378.75</v>
      </c>
      <c r="X165" s="2">
        <v>485.350006103515</v>
      </c>
      <c r="Y165" s="2">
        <v>1566.94995117187</v>
      </c>
      <c r="Z165" s="2">
        <v>1609.40002441406</v>
      </c>
      <c r="AA165" s="2">
        <v>975.25</v>
      </c>
      <c r="AB165" s="2">
        <v>463.75</v>
      </c>
      <c r="AC165" s="2">
        <v>152.52000427246</v>
      </c>
      <c r="AD165" s="2">
        <v>109.75</v>
      </c>
      <c r="AE165" s="2">
        <v>901.20001220703102</v>
      </c>
      <c r="AG165" s="2">
        <v>17465.80078125</v>
      </c>
      <c r="AH165" s="2">
        <v>59463.9296875</v>
      </c>
      <c r="AI165" s="2">
        <v>27232.390625</v>
      </c>
    </row>
    <row r="166" spans="1:35" x14ac:dyDescent="0.3">
      <c r="A166" s="1">
        <v>44984</v>
      </c>
      <c r="B166" s="2">
        <v>56.599998474121001</v>
      </c>
      <c r="C166" s="2">
        <v>1242.65002441406</v>
      </c>
      <c r="D166" s="2">
        <v>2158.10009765625</v>
      </c>
      <c r="E166" s="2">
        <v>68.332649230957003</v>
      </c>
      <c r="F166" s="2">
        <v>408.350006103515</v>
      </c>
      <c r="G166" s="2">
        <v>2263.94995117187</v>
      </c>
      <c r="H166" s="2">
        <v>23.299999237060501</v>
      </c>
      <c r="I166" s="2">
        <v>3805.44995117187</v>
      </c>
      <c r="J166" s="2">
        <v>68.319999694824205</v>
      </c>
      <c r="K166" s="2">
        <v>211.19999694824199</v>
      </c>
      <c r="L166" s="2">
        <v>127.36000061035099</v>
      </c>
      <c r="M166" s="2">
        <v>5954.7001953125</v>
      </c>
      <c r="N166" s="2">
        <v>916.79998779296795</v>
      </c>
      <c r="O166" s="2">
        <v>67.050003051757798</v>
      </c>
      <c r="P166" s="2">
        <v>99.599998474121094</v>
      </c>
      <c r="Q166" s="2">
        <v>181.19999694824199</v>
      </c>
      <c r="R166" s="2">
        <v>240.52999877929599</v>
      </c>
      <c r="S166" s="2">
        <v>17.600000381469702</v>
      </c>
      <c r="T166" s="2">
        <v>359.75</v>
      </c>
      <c r="U166" s="2">
        <v>63.965000152587798</v>
      </c>
      <c r="V166" s="2">
        <v>722.84997558593705</v>
      </c>
      <c r="W166" s="2">
        <v>373.600006103515</v>
      </c>
      <c r="X166" s="2">
        <v>477.29998779296801</v>
      </c>
      <c r="Y166" s="2">
        <v>1558.25</v>
      </c>
      <c r="Z166" s="2">
        <v>1585.30004882812</v>
      </c>
      <c r="AA166" s="2">
        <v>939.84997558593705</v>
      </c>
      <c r="AB166" s="2">
        <v>454</v>
      </c>
      <c r="AC166" s="2">
        <v>148.509994506835</v>
      </c>
      <c r="AD166" s="2">
        <v>106.09999847412099</v>
      </c>
      <c r="AE166" s="2">
        <v>860.95001220703102</v>
      </c>
      <c r="AG166" s="2">
        <v>17392.69921875</v>
      </c>
      <c r="AH166" s="2">
        <v>59288.3515625</v>
      </c>
      <c r="AI166" s="2">
        <v>27341.140625</v>
      </c>
    </row>
    <row r="167" spans="1:35" x14ac:dyDescent="0.3">
      <c r="A167" s="1">
        <v>44985</v>
      </c>
      <c r="B167" s="2">
        <v>57.799999237060497</v>
      </c>
      <c r="C167" s="2">
        <v>1188.30004882812</v>
      </c>
      <c r="D167" s="2">
        <v>2194.10009765625</v>
      </c>
      <c r="E167" s="2">
        <v>68.8326416015625</v>
      </c>
      <c r="F167" s="2">
        <v>388.100006103515</v>
      </c>
      <c r="G167" s="2">
        <v>2259.05004882812</v>
      </c>
      <c r="H167" s="2">
        <v>23.3250007629394</v>
      </c>
      <c r="I167" s="2">
        <v>3751.30004882812</v>
      </c>
      <c r="J167" s="2">
        <v>68.440002441406193</v>
      </c>
      <c r="K167" s="2">
        <v>211.600006103515</v>
      </c>
      <c r="L167" s="2">
        <v>128.41000366210901</v>
      </c>
      <c r="M167" s="2">
        <v>5921.64990234375</v>
      </c>
      <c r="N167" s="2">
        <v>905.25</v>
      </c>
      <c r="O167" s="2">
        <v>67.550003051757798</v>
      </c>
      <c r="P167" s="2">
        <v>104.574996948242</v>
      </c>
      <c r="Q167" s="2">
        <v>190.25</v>
      </c>
      <c r="R167" s="2">
        <v>213.39999389648401</v>
      </c>
      <c r="S167" s="2">
        <v>17.549999237060501</v>
      </c>
      <c r="T167" s="2">
        <v>363.39999389648398</v>
      </c>
      <c r="U167" s="2">
        <v>64.849998474121094</v>
      </c>
      <c r="V167" s="2">
        <v>742.79998779296795</v>
      </c>
      <c r="W167" s="2">
        <v>372.04998779296801</v>
      </c>
      <c r="X167" s="2">
        <v>478.850006103515</v>
      </c>
      <c r="Y167" s="2">
        <v>1545.94995117187</v>
      </c>
      <c r="Z167" s="2">
        <v>1601.80004882812</v>
      </c>
      <c r="AA167" s="2">
        <v>968.75</v>
      </c>
      <c r="AB167" s="2">
        <v>451.600006103515</v>
      </c>
      <c r="AC167" s="2">
        <v>150.36500549316401</v>
      </c>
      <c r="AD167" s="2">
        <v>103.949996948242</v>
      </c>
      <c r="AE167" s="2">
        <v>881.79998779296795</v>
      </c>
      <c r="AG167" s="2">
        <v>17303.94921875</v>
      </c>
      <c r="AH167" s="2">
        <v>58962.12109375</v>
      </c>
      <c r="AI167" s="2">
        <v>27718.130859375</v>
      </c>
    </row>
    <row r="168" spans="1:35" x14ac:dyDescent="0.3">
      <c r="A168" s="1">
        <v>44986</v>
      </c>
      <c r="B168" s="2">
        <v>59.279998779296797</v>
      </c>
      <c r="C168" s="2">
        <v>1259.40002441406</v>
      </c>
      <c r="D168" s="2">
        <v>2194.14990234375</v>
      </c>
      <c r="E168" s="2">
        <v>69.165977478027301</v>
      </c>
      <c r="F168" s="2">
        <v>389</v>
      </c>
      <c r="G168" s="2">
        <v>2252.75</v>
      </c>
      <c r="H168" s="2">
        <v>24.375</v>
      </c>
      <c r="I168" s="2">
        <v>3747.55004882812</v>
      </c>
      <c r="J168" s="2">
        <v>72.839996337890597</v>
      </c>
      <c r="K168" s="2">
        <v>211.64999389648401</v>
      </c>
      <c r="L168" s="2">
        <v>132.16000366210901</v>
      </c>
      <c r="M168" s="2">
        <v>6107.4501953125</v>
      </c>
      <c r="N168" s="2">
        <v>922.29998779296795</v>
      </c>
      <c r="O168" s="2">
        <v>67.769996643066406</v>
      </c>
      <c r="P168" s="2">
        <v>113.34999847412099</v>
      </c>
      <c r="Q168" s="2">
        <v>199.75</v>
      </c>
      <c r="R168" s="2">
        <v>214.75</v>
      </c>
      <c r="S168" s="2">
        <v>17.909999847412099</v>
      </c>
      <c r="T168" s="2">
        <v>384.95001220703102</v>
      </c>
      <c r="U168" s="2">
        <v>66.339996337890597</v>
      </c>
      <c r="V168" s="2">
        <v>741.75</v>
      </c>
      <c r="W168" s="2">
        <v>374.04998779296801</v>
      </c>
      <c r="X168" s="2">
        <v>476.64999389648398</v>
      </c>
      <c r="Y168" s="2">
        <v>1561.44995117187</v>
      </c>
      <c r="Z168" s="2">
        <v>1584.94995117187</v>
      </c>
      <c r="AA168" s="2">
        <v>929.25</v>
      </c>
      <c r="AB168" s="2">
        <v>450.45001220703102</v>
      </c>
      <c r="AC168" s="2">
        <v>148.259994506835</v>
      </c>
      <c r="AD168" s="2">
        <v>105.5</v>
      </c>
      <c r="AE168" s="2">
        <v>899.25</v>
      </c>
      <c r="AG168" s="2">
        <v>17450.900390625</v>
      </c>
      <c r="AH168" s="2">
        <v>59411.078125</v>
      </c>
      <c r="AI168" s="2">
        <v>27658.2109375</v>
      </c>
    </row>
    <row r="169" spans="1:35" x14ac:dyDescent="0.3">
      <c r="A169" s="1">
        <v>44987</v>
      </c>
      <c r="B169" s="2">
        <v>60.639999389648402</v>
      </c>
      <c r="C169" s="2">
        <v>1246.59997558593</v>
      </c>
      <c r="D169" s="2">
        <v>2190.19995117187</v>
      </c>
      <c r="E169" s="2">
        <v>68.999305725097599</v>
      </c>
      <c r="F169" s="2">
        <v>387.100006103515</v>
      </c>
      <c r="G169" s="2">
        <v>2255.75</v>
      </c>
      <c r="H169" s="2">
        <v>25.079999923706001</v>
      </c>
      <c r="I169" s="2">
        <v>3685.55004882812</v>
      </c>
      <c r="J169" s="2">
        <v>71.949996948242102</v>
      </c>
      <c r="K169" s="2">
        <v>206.100006103515</v>
      </c>
      <c r="L169" s="2">
        <v>131.91000366210901</v>
      </c>
      <c r="M169" s="2">
        <v>6146.39990234375</v>
      </c>
      <c r="N169" s="2">
        <v>937.45001220703102</v>
      </c>
      <c r="O169" s="2">
        <v>67.690002441406193</v>
      </c>
      <c r="P169" s="2">
        <v>117.550003051757</v>
      </c>
      <c r="Q169" s="2">
        <v>209.64999389648401</v>
      </c>
      <c r="R169" s="2">
        <v>209.30999755859301</v>
      </c>
      <c r="S169" s="2">
        <v>17.440000534057599</v>
      </c>
      <c r="T169" s="2">
        <v>400.600006103515</v>
      </c>
      <c r="U169" s="2">
        <v>66.919998168945298</v>
      </c>
      <c r="V169" s="2">
        <v>773.54998779296795</v>
      </c>
      <c r="W169" s="2">
        <v>372.95001220703102</v>
      </c>
      <c r="X169" s="2">
        <v>477.20001220703102</v>
      </c>
      <c r="Y169" s="2">
        <v>1570</v>
      </c>
      <c r="Z169" s="2">
        <v>1570.90002441406</v>
      </c>
      <c r="AA169" s="2">
        <v>944.15002441406205</v>
      </c>
      <c r="AB169" s="2">
        <v>449.39999389648398</v>
      </c>
      <c r="AC169" s="2">
        <v>145.91499328613199</v>
      </c>
      <c r="AD169" s="2">
        <v>104.650001525878</v>
      </c>
      <c r="AE169" s="2">
        <v>884.65002441406205</v>
      </c>
      <c r="AG169" s="2">
        <v>17321.900390625</v>
      </c>
      <c r="AH169" s="2">
        <v>58909.3515625</v>
      </c>
      <c r="AI169" s="2">
        <v>27846.400390625</v>
      </c>
    </row>
    <row r="170" spans="1:35" x14ac:dyDescent="0.3">
      <c r="A170" s="1">
        <v>44988</v>
      </c>
      <c r="B170" s="2">
        <v>60.189998626708899</v>
      </c>
      <c r="C170" s="2">
        <v>1227.80004882812</v>
      </c>
      <c r="D170" s="2">
        <v>2186.39990234375</v>
      </c>
      <c r="E170" s="2">
        <v>69.365974426269503</v>
      </c>
      <c r="F170" s="2">
        <v>402.600006103515</v>
      </c>
      <c r="G170" s="2">
        <v>2311.94995117187</v>
      </c>
      <c r="H170" s="2">
        <v>24.9500007629394</v>
      </c>
      <c r="I170" s="2">
        <v>3721.85009765625</v>
      </c>
      <c r="J170" s="2">
        <v>73.459999084472599</v>
      </c>
      <c r="K170" s="2">
        <v>203.64999389648401</v>
      </c>
      <c r="L170" s="2">
        <v>131.72000122070301</v>
      </c>
      <c r="M170" s="2">
        <v>6178.7001953125</v>
      </c>
      <c r="N170" s="2">
        <v>917.29998779296795</v>
      </c>
      <c r="O170" s="2">
        <v>67.989997863769503</v>
      </c>
      <c r="P170" s="2">
        <v>125</v>
      </c>
      <c r="Q170" s="2">
        <v>220.100006103515</v>
      </c>
      <c r="R170" s="2">
        <v>210.32000732421801</v>
      </c>
      <c r="S170" s="2">
        <v>17.690000534057599</v>
      </c>
      <c r="T170" s="2">
        <v>397.29998779296801</v>
      </c>
      <c r="U170" s="2">
        <v>66.360000610351506</v>
      </c>
      <c r="V170" s="2">
        <v>791.40002441406205</v>
      </c>
      <c r="W170" s="2">
        <v>377.350006103515</v>
      </c>
      <c r="X170" s="2">
        <v>475.64999389648398</v>
      </c>
      <c r="Y170" s="2">
        <v>1570</v>
      </c>
      <c r="Z170" s="2">
        <v>1603.15002441406</v>
      </c>
      <c r="AA170" s="2">
        <v>956.79998779296795</v>
      </c>
      <c r="AB170" s="2">
        <v>450.5</v>
      </c>
      <c r="AC170" s="2">
        <v>150.03999328613199</v>
      </c>
      <c r="AD170" s="2">
        <v>107</v>
      </c>
      <c r="AE170" s="2">
        <v>880.95001220703102</v>
      </c>
      <c r="AG170" s="2">
        <v>17594.349609375</v>
      </c>
      <c r="AH170" s="2">
        <v>59808.96875</v>
      </c>
      <c r="AI170" s="2">
        <v>28096.029296875</v>
      </c>
    </row>
    <row r="171" spans="1:35" x14ac:dyDescent="0.3">
      <c r="A171" s="1">
        <v>44991</v>
      </c>
      <c r="B171" s="2">
        <v>60.4799995422363</v>
      </c>
      <c r="C171" s="2">
        <v>1246.44995117187</v>
      </c>
      <c r="D171" s="2">
        <v>2225.89990234375</v>
      </c>
      <c r="E171" s="2">
        <v>69.365974426269503</v>
      </c>
      <c r="F171" s="2">
        <v>396.29998779296801</v>
      </c>
      <c r="G171" s="2">
        <v>2314.30004882812</v>
      </c>
      <c r="H171" s="2">
        <v>24.905000686645501</v>
      </c>
      <c r="I171" s="2">
        <v>3848.5</v>
      </c>
      <c r="J171" s="2">
        <v>74.470001220703097</v>
      </c>
      <c r="K171" s="2">
        <v>207.64999389648401</v>
      </c>
      <c r="L171" s="2">
        <v>129</v>
      </c>
      <c r="M171" s="2">
        <v>6174.75</v>
      </c>
      <c r="N171" s="2">
        <v>904.54998779296795</v>
      </c>
      <c r="O171" s="2">
        <v>68.860000610351506</v>
      </c>
      <c r="P171" s="2">
        <v>121.425003051757</v>
      </c>
      <c r="Q171" s="2">
        <v>231</v>
      </c>
      <c r="R171" s="2">
        <v>210.91000366210901</v>
      </c>
      <c r="S171" s="2">
        <v>17.590000152587798</v>
      </c>
      <c r="T171" s="2">
        <v>411.600006103515</v>
      </c>
      <c r="U171" s="2">
        <v>69.680000305175696</v>
      </c>
      <c r="V171" s="2">
        <v>792.70001220703102</v>
      </c>
      <c r="W171" s="2">
        <v>374.25</v>
      </c>
      <c r="X171" s="2">
        <v>479.54998779296801</v>
      </c>
      <c r="Y171" s="2">
        <v>1558</v>
      </c>
      <c r="Z171" s="2">
        <v>1570.5</v>
      </c>
      <c r="AA171" s="2">
        <v>950.25</v>
      </c>
      <c r="AB171" s="2">
        <v>451.850006103515</v>
      </c>
      <c r="AC171" s="2">
        <v>151.25500488281199</v>
      </c>
      <c r="AD171" s="2">
        <v>105.650001525878</v>
      </c>
      <c r="AE171" s="2">
        <v>883.25</v>
      </c>
      <c r="AG171" s="2">
        <v>17711.44921875</v>
      </c>
      <c r="AH171" s="2">
        <v>60224.4609375</v>
      </c>
      <c r="AI171" s="2">
        <v>28173.4609375</v>
      </c>
    </row>
    <row r="172" spans="1:35" x14ac:dyDescent="0.3">
      <c r="A172" s="1">
        <v>44993</v>
      </c>
      <c r="B172" s="2">
        <v>59.2299995422363</v>
      </c>
      <c r="C172" s="2">
        <v>1201.30004882812</v>
      </c>
      <c r="D172" s="2">
        <v>2209.10009765625</v>
      </c>
      <c r="E172" s="2">
        <v>69.099304199218693</v>
      </c>
      <c r="F172" s="2">
        <v>400.70001220703102</v>
      </c>
      <c r="G172" s="2">
        <v>2300.19995117187</v>
      </c>
      <c r="H172" s="2">
        <v>24.7000007629394</v>
      </c>
      <c r="I172" s="2">
        <v>3794.64990234375</v>
      </c>
      <c r="J172" s="2">
        <v>76.069999694824205</v>
      </c>
      <c r="K172" s="2">
        <v>210.69999694824199</v>
      </c>
      <c r="L172" s="2">
        <v>129.47000122070301</v>
      </c>
      <c r="M172" s="2">
        <v>6099.2998046875</v>
      </c>
      <c r="N172" s="2">
        <v>909.70001220703102</v>
      </c>
      <c r="O172" s="2">
        <v>69.559997558593693</v>
      </c>
      <c r="P172" s="2">
        <v>120.699996948242</v>
      </c>
      <c r="Q172" s="2">
        <v>242.39999389648401</v>
      </c>
      <c r="R172" s="2">
        <v>213.86000061035099</v>
      </c>
      <c r="S172" s="2">
        <v>17.600000381469702</v>
      </c>
      <c r="T172" s="2">
        <v>408.875</v>
      </c>
      <c r="U172" s="2">
        <v>69.595001220703097</v>
      </c>
      <c r="V172" s="2">
        <v>819</v>
      </c>
      <c r="W172" s="2">
        <v>377.25</v>
      </c>
      <c r="X172" s="2">
        <v>477.20001220703102</v>
      </c>
      <c r="Y172" s="2">
        <v>1562</v>
      </c>
      <c r="Z172" s="2">
        <v>1582.34997558593</v>
      </c>
      <c r="AA172" s="2">
        <v>936</v>
      </c>
      <c r="AB172" s="2">
        <v>469.29998779296801</v>
      </c>
      <c r="AC172" s="2">
        <v>154.225006103515</v>
      </c>
      <c r="AD172" s="2">
        <v>106.5</v>
      </c>
      <c r="AE172" s="2">
        <v>901.29998779296795</v>
      </c>
      <c r="AG172" s="2">
        <v>17754.400390625</v>
      </c>
      <c r="AH172" s="2">
        <v>60348.08984375</v>
      </c>
      <c r="AI172" s="2">
        <v>28117.400390625</v>
      </c>
    </row>
    <row r="173" spans="1:35" x14ac:dyDescent="0.3">
      <c r="A173" s="1">
        <v>44994</v>
      </c>
      <c r="B173" s="2">
        <v>58.279998779296797</v>
      </c>
      <c r="C173" s="2">
        <v>1209.19995117187</v>
      </c>
      <c r="D173" s="2">
        <v>2271.64990234375</v>
      </c>
      <c r="E173" s="2">
        <v>69.199310302734304</v>
      </c>
      <c r="F173" s="2">
        <v>392.29998779296801</v>
      </c>
      <c r="G173" s="2">
        <v>2300.44995117187</v>
      </c>
      <c r="H173" s="2">
        <v>24.350000381469702</v>
      </c>
      <c r="I173" s="2">
        <v>3736.94995117187</v>
      </c>
      <c r="J173" s="2">
        <v>75.300003051757798</v>
      </c>
      <c r="K173" s="2">
        <v>208.89999389648401</v>
      </c>
      <c r="L173" s="2">
        <v>129.88000488281199</v>
      </c>
      <c r="M173" s="2">
        <v>6093.7001953125</v>
      </c>
      <c r="N173" s="2">
        <v>930.90002441406205</v>
      </c>
      <c r="O173" s="2">
        <v>67.940002441406193</v>
      </c>
      <c r="P173" s="2">
        <v>117.625</v>
      </c>
      <c r="Q173" s="2">
        <v>245.80000305175699</v>
      </c>
      <c r="R173" s="2">
        <v>209.14999389648401</v>
      </c>
      <c r="S173" s="2">
        <v>18.159999847412099</v>
      </c>
      <c r="T173" s="2">
        <v>408.82501220703102</v>
      </c>
      <c r="U173" s="2">
        <v>68.964996337890597</v>
      </c>
      <c r="V173" s="2">
        <v>817.40002441406205</v>
      </c>
      <c r="W173" s="2">
        <v>381.54998779296801</v>
      </c>
      <c r="X173" s="2">
        <v>476.75</v>
      </c>
      <c r="Y173" s="2">
        <v>1571.84997558593</v>
      </c>
      <c r="Z173" s="2">
        <v>1602.30004882812</v>
      </c>
      <c r="AA173" s="2">
        <v>927.59997558593705</v>
      </c>
      <c r="AB173" s="2">
        <v>472.89999389648398</v>
      </c>
      <c r="AC173" s="2">
        <v>155.38999938964801</v>
      </c>
      <c r="AD173" s="2">
        <v>108.199996948242</v>
      </c>
      <c r="AE173" s="2">
        <v>936.45001220703102</v>
      </c>
      <c r="AG173" s="2">
        <v>17589.599609375</v>
      </c>
      <c r="AH173" s="2">
        <v>59806.28125</v>
      </c>
      <c r="AI173" s="2">
        <v>27952.109375</v>
      </c>
    </row>
    <row r="174" spans="1:35" x14ac:dyDescent="0.3">
      <c r="A174" s="1">
        <v>44995</v>
      </c>
      <c r="B174" s="2">
        <v>57.299999237060497</v>
      </c>
      <c r="C174" s="2">
        <v>1199.15002441406</v>
      </c>
      <c r="D174" s="2">
        <v>2261.64990234375</v>
      </c>
      <c r="E174" s="2">
        <v>68.632644653320298</v>
      </c>
      <c r="F174" s="2">
        <v>388.100006103515</v>
      </c>
      <c r="G174" s="2">
        <v>2290</v>
      </c>
      <c r="H174" s="2">
        <v>24.465000152587798</v>
      </c>
      <c r="I174" s="2">
        <v>3768.60009765625</v>
      </c>
      <c r="J174" s="2">
        <v>74.680000305175696</v>
      </c>
      <c r="K174" s="2">
        <v>205.55000305175699</v>
      </c>
      <c r="L174" s="2">
        <v>129.42999267578099</v>
      </c>
      <c r="M174" s="2">
        <v>6073.14990234375</v>
      </c>
      <c r="N174" s="2">
        <v>917.25</v>
      </c>
      <c r="O174" s="2">
        <v>69.120002746582003</v>
      </c>
      <c r="P174" s="2">
        <v>116.800003051757</v>
      </c>
      <c r="Q174" s="2">
        <v>233.75</v>
      </c>
      <c r="R174" s="2">
        <v>208.05000305175699</v>
      </c>
      <c r="S174" s="2">
        <v>18.129999160766602</v>
      </c>
      <c r="T174" s="2">
        <v>390.04998779296801</v>
      </c>
      <c r="U174" s="2">
        <v>70.004997253417898</v>
      </c>
      <c r="V174" s="2">
        <v>814</v>
      </c>
      <c r="W174" s="2">
        <v>377.850006103515</v>
      </c>
      <c r="X174" s="2">
        <v>477.39999389648398</v>
      </c>
      <c r="Y174" s="2">
        <v>1570.59997558593</v>
      </c>
      <c r="Z174" s="2">
        <v>1601.09997558593</v>
      </c>
      <c r="AA174" s="2">
        <v>943.54998779296795</v>
      </c>
      <c r="AB174" s="2">
        <v>477.600006103515</v>
      </c>
      <c r="AC174" s="2">
        <v>157.52499389648401</v>
      </c>
      <c r="AD174" s="2">
        <v>108.09999847412099</v>
      </c>
      <c r="AE174" s="2">
        <v>953.54998779296795</v>
      </c>
      <c r="AG174" s="2">
        <v>17412.900390625</v>
      </c>
      <c r="AH174" s="2">
        <v>59135.12890625</v>
      </c>
      <c r="AI174" s="2">
        <v>27371.94921875</v>
      </c>
    </row>
    <row r="175" spans="1:35" x14ac:dyDescent="0.3">
      <c r="A175" s="1">
        <v>44998</v>
      </c>
      <c r="B175" s="2">
        <v>55.330001831054602</v>
      </c>
      <c r="C175" s="2">
        <v>1185.44995117187</v>
      </c>
      <c r="D175" s="2">
        <v>2156.94995117187</v>
      </c>
      <c r="E175" s="2">
        <v>67.932655334472599</v>
      </c>
      <c r="F175" s="2">
        <v>380.39999389648398</v>
      </c>
      <c r="G175" s="2">
        <v>2250.85009765625</v>
      </c>
      <c r="H175" s="2">
        <v>24.0550003051757</v>
      </c>
      <c r="I175" s="2">
        <v>3714.35009765625</v>
      </c>
      <c r="J175" s="2">
        <v>72.730003356933594</v>
      </c>
      <c r="K175" s="2">
        <v>201.600006103515</v>
      </c>
      <c r="L175" s="2">
        <v>127.309997558593</v>
      </c>
      <c r="M175" s="2">
        <v>6075.60009765625</v>
      </c>
      <c r="N175" s="2">
        <v>903.45001220703102</v>
      </c>
      <c r="O175" s="2">
        <v>67.440002441406193</v>
      </c>
      <c r="P175" s="2">
        <v>110.97499847412099</v>
      </c>
      <c r="Q175" s="2">
        <v>222.14999389648401</v>
      </c>
      <c r="R175" s="2">
        <v>207.47000122070301</v>
      </c>
      <c r="S175" s="2">
        <v>17.540000915527301</v>
      </c>
      <c r="T175" s="2">
        <v>399.17498779296801</v>
      </c>
      <c r="U175" s="2">
        <v>68.849998474121094</v>
      </c>
      <c r="V175" s="2">
        <v>793.95001220703102</v>
      </c>
      <c r="W175" s="2">
        <v>376.29998779296801</v>
      </c>
      <c r="X175" s="2">
        <v>472.75</v>
      </c>
      <c r="Y175" s="2">
        <v>1559.44995117187</v>
      </c>
      <c r="Z175" s="2">
        <v>1592</v>
      </c>
      <c r="AA175" s="2">
        <v>941.90002441406205</v>
      </c>
      <c r="AB175" s="2">
        <v>472.350006103515</v>
      </c>
      <c r="AC175" s="2">
        <v>152.38000488281199</v>
      </c>
      <c r="AD175" s="2">
        <v>106.800003051757</v>
      </c>
      <c r="AE175" s="2">
        <v>924.70001220703102</v>
      </c>
      <c r="AG175" s="2">
        <v>17154.30078125</v>
      </c>
      <c r="AH175" s="2">
        <v>58237.8515625</v>
      </c>
      <c r="AI175" s="2">
        <v>27142.630859375</v>
      </c>
    </row>
    <row r="176" spans="1:35" x14ac:dyDescent="0.3">
      <c r="A176" s="1">
        <v>44999</v>
      </c>
      <c r="B176" s="2">
        <v>54.009998321533203</v>
      </c>
      <c r="C176" s="2">
        <v>1193.34997558593</v>
      </c>
      <c r="D176" s="2">
        <v>2094.60009765625</v>
      </c>
      <c r="E176" s="2">
        <v>67.599319458007798</v>
      </c>
      <c r="F176" s="2">
        <v>368.5</v>
      </c>
      <c r="G176" s="2">
        <v>2223.19995117187</v>
      </c>
      <c r="H176" s="2">
        <v>23.5550003051757</v>
      </c>
      <c r="I176" s="2">
        <v>3709.44995117187</v>
      </c>
      <c r="J176" s="2">
        <v>71.879997253417898</v>
      </c>
      <c r="K176" s="2">
        <v>201.19999694824199</v>
      </c>
      <c r="L176" s="2">
        <v>124.48999786376901</v>
      </c>
      <c r="M176" s="2">
        <v>6086.5</v>
      </c>
      <c r="N176" s="2">
        <v>892.20001220703102</v>
      </c>
      <c r="O176" s="2">
        <v>65.919998168945298</v>
      </c>
      <c r="P176" s="2">
        <v>105.550003051757</v>
      </c>
      <c r="Q176" s="2">
        <v>211.05000305175699</v>
      </c>
      <c r="R176" s="2">
        <v>202.16000366210901</v>
      </c>
      <c r="S176" s="2">
        <v>17.520000457763601</v>
      </c>
      <c r="T176" s="2">
        <v>415.5</v>
      </c>
      <c r="U176" s="2">
        <v>67.275001525878906</v>
      </c>
      <c r="V176" s="2">
        <v>812.15002441406205</v>
      </c>
      <c r="W176" s="2">
        <v>369.100006103515</v>
      </c>
      <c r="X176" s="2">
        <v>474.39999389648398</v>
      </c>
      <c r="Y176" s="2">
        <v>1539.05004882812</v>
      </c>
      <c r="Z176" s="2">
        <v>1626.19995117187</v>
      </c>
      <c r="AA176" s="2">
        <v>926.20001220703102</v>
      </c>
      <c r="AB176" s="2">
        <v>473.54998779296801</v>
      </c>
      <c r="AC176" s="2">
        <v>156.61999511718699</v>
      </c>
      <c r="AD176" s="2">
        <v>106.400001525878</v>
      </c>
      <c r="AE176" s="2">
        <v>891.75</v>
      </c>
      <c r="AG176" s="2">
        <v>17043.30078125</v>
      </c>
      <c r="AH176" s="2">
        <v>57900.19140625</v>
      </c>
      <c r="AI176" s="2">
        <v>27169.16015625</v>
      </c>
    </row>
    <row r="177" spans="1:35" x14ac:dyDescent="0.3">
      <c r="A177" s="1">
        <v>45000</v>
      </c>
      <c r="B177" s="2">
        <v>53.520000457763601</v>
      </c>
      <c r="C177" s="2">
        <v>1202.80004882812</v>
      </c>
      <c r="D177" s="2">
        <v>2058.69995117187</v>
      </c>
      <c r="E177" s="2">
        <v>67.099327087402301</v>
      </c>
      <c r="F177" s="2">
        <v>361.89999389648398</v>
      </c>
      <c r="G177" s="2">
        <v>2215</v>
      </c>
      <c r="H177" s="2">
        <v>23.25</v>
      </c>
      <c r="I177" s="2">
        <v>3703.64990234375</v>
      </c>
      <c r="J177" s="2">
        <v>74.730003356933594</v>
      </c>
      <c r="K177" s="2">
        <v>199.100006103515</v>
      </c>
      <c r="L177" s="2">
        <v>122.389999389648</v>
      </c>
      <c r="M177" s="2">
        <v>6140.10009765625</v>
      </c>
      <c r="N177" s="2">
        <v>929.5</v>
      </c>
      <c r="O177" s="2">
        <v>65.069999694824205</v>
      </c>
      <c r="P177" s="2">
        <v>106.074996948242</v>
      </c>
      <c r="Q177" s="2">
        <v>214.05000305175699</v>
      </c>
      <c r="R177" s="2">
        <v>202.19999694824199</v>
      </c>
      <c r="S177" s="2">
        <v>17.579999923706001</v>
      </c>
      <c r="T177" s="2">
        <v>412.82501220703102</v>
      </c>
      <c r="U177" s="2">
        <v>67.919998168945298</v>
      </c>
      <c r="V177" s="2">
        <v>818.84997558593705</v>
      </c>
      <c r="W177" s="2">
        <v>369.5</v>
      </c>
      <c r="X177" s="2">
        <v>471.89999389648398</v>
      </c>
      <c r="Y177" s="2">
        <v>1537.15002441406</v>
      </c>
      <c r="Z177" s="2">
        <v>1598.25</v>
      </c>
      <c r="AA177" s="2">
        <v>916.54998779296795</v>
      </c>
      <c r="AB177" s="2">
        <v>469.350006103515</v>
      </c>
      <c r="AC177" s="2">
        <v>151.44000244140599</v>
      </c>
      <c r="AD177" s="2">
        <v>108.650001525878</v>
      </c>
      <c r="AE177" s="2">
        <v>889.65002441406205</v>
      </c>
      <c r="AG177" s="2">
        <v>16972.150390625</v>
      </c>
      <c r="AH177" s="2">
        <v>57555.8984375</v>
      </c>
      <c r="AI177" s="2">
        <v>26980.75</v>
      </c>
    </row>
    <row r="178" spans="1:35" x14ac:dyDescent="0.3">
      <c r="A178" s="1">
        <v>45001</v>
      </c>
      <c r="B178" s="2">
        <v>52.080001831054602</v>
      </c>
      <c r="C178" s="2">
        <v>1181.69995117187</v>
      </c>
      <c r="D178" s="2">
        <v>2004</v>
      </c>
      <c r="E178" s="2">
        <v>65.499343872070298</v>
      </c>
      <c r="F178" s="2">
        <v>364.350006103515</v>
      </c>
      <c r="G178" s="2">
        <v>2165.10009765625</v>
      </c>
      <c r="H178" s="2">
        <v>23.1350002288818</v>
      </c>
      <c r="I178" s="2">
        <v>3751.19995117187</v>
      </c>
      <c r="J178" s="2">
        <v>74.870002746582003</v>
      </c>
      <c r="K178" s="2">
        <v>198.19999694824199</v>
      </c>
      <c r="L178" s="2">
        <v>121.699996948242</v>
      </c>
      <c r="M178" s="2">
        <v>6200.64990234375</v>
      </c>
      <c r="N178" s="2">
        <v>883.65002441406205</v>
      </c>
      <c r="O178" s="2">
        <v>61.810001373291001</v>
      </c>
      <c r="P178" s="2">
        <v>105.550003051757</v>
      </c>
      <c r="Q178" s="2">
        <v>209.100006103515</v>
      </c>
      <c r="R178" s="2">
        <v>202.08000183105401</v>
      </c>
      <c r="S178" s="2">
        <v>17.4300003051757</v>
      </c>
      <c r="T178" s="2">
        <v>405.29998779296801</v>
      </c>
      <c r="U178" s="2">
        <v>67.375</v>
      </c>
      <c r="V178" s="2">
        <v>837.29998779296795</v>
      </c>
      <c r="W178" s="2">
        <v>366.75</v>
      </c>
      <c r="X178" s="2">
        <v>473.350006103515</v>
      </c>
      <c r="Y178" s="2">
        <v>1523.65002441406</v>
      </c>
      <c r="Z178" s="2">
        <v>1590</v>
      </c>
      <c r="AA178" s="2">
        <v>893.34997558593705</v>
      </c>
      <c r="AB178" s="2">
        <v>465.100006103515</v>
      </c>
      <c r="AC178" s="2">
        <v>148.919998168945</v>
      </c>
      <c r="AD178" s="2">
        <v>105.050003051757</v>
      </c>
      <c r="AE178" s="2">
        <v>892.75</v>
      </c>
      <c r="AG178" s="2">
        <v>16985.599609375</v>
      </c>
      <c r="AH178" s="2">
        <v>57634.83984375</v>
      </c>
      <c r="AI178" s="2">
        <v>27167.740234375</v>
      </c>
    </row>
    <row r="179" spans="1:35" x14ac:dyDescent="0.3">
      <c r="A179" s="1">
        <v>45002</v>
      </c>
      <c r="B179" s="2">
        <v>52.790000915527301</v>
      </c>
      <c r="C179" s="2">
        <v>1238.65002441406</v>
      </c>
      <c r="D179" s="2">
        <v>2006.94995117187</v>
      </c>
      <c r="E179" s="2">
        <v>65.999336242675696</v>
      </c>
      <c r="F179" s="2">
        <v>363.39999389648398</v>
      </c>
      <c r="G179" s="2">
        <v>2160.30004882812</v>
      </c>
      <c r="H179" s="2">
        <v>23.155000686645501</v>
      </c>
      <c r="I179" s="2">
        <v>3709.80004882812</v>
      </c>
      <c r="J179" s="2">
        <v>77.660003662109304</v>
      </c>
      <c r="K179" s="2">
        <v>193.94999694824199</v>
      </c>
      <c r="L179" s="2">
        <v>123.470001220703</v>
      </c>
      <c r="M179" s="2">
        <v>6157.4501953125</v>
      </c>
      <c r="N179" s="2">
        <v>886.90002441406205</v>
      </c>
      <c r="O179" s="2">
        <v>61.75</v>
      </c>
      <c r="P179" s="2">
        <v>105.75</v>
      </c>
      <c r="Q179" s="2">
        <v>205.69999694824199</v>
      </c>
      <c r="R179" s="2">
        <v>202.96000671386699</v>
      </c>
      <c r="S179" s="2">
        <v>17.309999465942301</v>
      </c>
      <c r="T179" s="2">
        <v>399.125</v>
      </c>
      <c r="U179" s="2">
        <v>66.775001525878906</v>
      </c>
      <c r="V179" s="2">
        <v>878.95001220703102</v>
      </c>
      <c r="W179" s="2">
        <v>357.54998779296801</v>
      </c>
      <c r="X179" s="2">
        <v>473</v>
      </c>
      <c r="Y179" s="2">
        <v>1537.94995117187</v>
      </c>
      <c r="Z179" s="2">
        <v>1580.05004882812</v>
      </c>
      <c r="AA179" s="2">
        <v>919.40002441406205</v>
      </c>
      <c r="AB179" s="2">
        <v>460.850006103515</v>
      </c>
      <c r="AC179" s="2">
        <v>150.70500183105401</v>
      </c>
      <c r="AD179" s="2">
        <v>107</v>
      </c>
      <c r="AE179" s="2">
        <v>887.29998779296795</v>
      </c>
      <c r="AG179" s="2">
        <v>17100.05078125</v>
      </c>
      <c r="AH179" s="2">
        <v>57989.8984375</v>
      </c>
      <c r="AI179" s="2">
        <v>26899.390625</v>
      </c>
    </row>
    <row r="180" spans="1:35" x14ac:dyDescent="0.3">
      <c r="A180" s="1">
        <v>45005</v>
      </c>
      <c r="B180" s="2">
        <v>51.790000915527301</v>
      </c>
      <c r="C180" s="2">
        <v>1209.30004882812</v>
      </c>
      <c r="D180" s="2">
        <v>1985.34997558593</v>
      </c>
      <c r="E180" s="2">
        <v>65.766006469726506</v>
      </c>
      <c r="F180" s="2">
        <v>359</v>
      </c>
      <c r="G180" s="2">
        <v>2161.94995117187</v>
      </c>
      <c r="H180" s="2">
        <v>22.1049995422363</v>
      </c>
      <c r="I180" s="2">
        <v>3563.85009765625</v>
      </c>
      <c r="J180" s="2">
        <v>76.870002746582003</v>
      </c>
      <c r="K180" s="2">
        <v>195.89999389648401</v>
      </c>
      <c r="L180" s="2">
        <v>132.74000549316401</v>
      </c>
      <c r="M180" s="2">
        <v>6077</v>
      </c>
      <c r="N180" s="2">
        <v>882.5</v>
      </c>
      <c r="O180" s="2">
        <v>60.830001831054602</v>
      </c>
      <c r="P180" s="2">
        <v>101.574996948242</v>
      </c>
      <c r="Q180" s="2">
        <v>199.30000305175699</v>
      </c>
      <c r="R180" s="2">
        <v>203.99000549316401</v>
      </c>
      <c r="S180" s="2">
        <v>17.309999465942301</v>
      </c>
      <c r="T180" s="2">
        <v>402.975006103515</v>
      </c>
      <c r="U180" s="2">
        <v>65.699996948242102</v>
      </c>
      <c r="V180" s="2">
        <v>885.70001220703102</v>
      </c>
      <c r="W180" s="2">
        <v>354.5</v>
      </c>
      <c r="X180" s="2">
        <v>471.89999389648398</v>
      </c>
      <c r="Y180" s="2">
        <v>1519.15002441406</v>
      </c>
      <c r="Z180" s="2">
        <v>1586.34997558593</v>
      </c>
      <c r="AA180" s="2">
        <v>914.59997558593705</v>
      </c>
      <c r="AB180" s="2">
        <v>453.600006103515</v>
      </c>
      <c r="AC180" s="2">
        <v>148.475006103515</v>
      </c>
      <c r="AD180" s="2">
        <v>104.5</v>
      </c>
      <c r="AE180" s="2">
        <v>882.15002441406205</v>
      </c>
      <c r="AG180" s="2">
        <v>16988.400390625</v>
      </c>
      <c r="AH180" s="2">
        <v>57628.94921875</v>
      </c>
      <c r="AI180" s="2">
        <v>27034.330078125</v>
      </c>
    </row>
    <row r="181" spans="1:35" x14ac:dyDescent="0.3">
      <c r="A181" s="1">
        <v>45006</v>
      </c>
      <c r="B181" s="2">
        <v>52.080001831054602</v>
      </c>
      <c r="C181" s="2">
        <v>1198.55004882812</v>
      </c>
      <c r="D181" s="2">
        <v>2004.15002441406</v>
      </c>
      <c r="E181" s="2">
        <v>65.166015625</v>
      </c>
      <c r="F181" s="2">
        <v>355.5</v>
      </c>
      <c r="G181" s="2">
        <v>2167.85009765625</v>
      </c>
      <c r="H181" s="2">
        <v>22.069999694824201</v>
      </c>
      <c r="I181" s="2">
        <v>3530.85009765625</v>
      </c>
      <c r="J181" s="2">
        <v>74.860000610351506</v>
      </c>
      <c r="K181" s="2">
        <v>195.39999389648401</v>
      </c>
      <c r="L181" s="2">
        <v>132.100006103515</v>
      </c>
      <c r="M181" s="2">
        <v>6128.4501953125</v>
      </c>
      <c r="N181" s="2">
        <v>872.84997558593705</v>
      </c>
      <c r="O181" s="2">
        <v>60.209999084472599</v>
      </c>
      <c r="P181" s="2">
        <v>102.125</v>
      </c>
      <c r="Q181" s="2">
        <v>198.5</v>
      </c>
      <c r="R181" s="2">
        <v>208.66000366210901</v>
      </c>
      <c r="S181" s="2">
        <v>17.389999389648398</v>
      </c>
      <c r="T181" s="2">
        <v>401.225006103515</v>
      </c>
      <c r="U181" s="2">
        <v>65.620002746582003</v>
      </c>
      <c r="V181" s="2">
        <v>882.54998779296795</v>
      </c>
      <c r="W181" s="2">
        <v>367.79998779296801</v>
      </c>
      <c r="X181" s="2">
        <v>468.95001220703102</v>
      </c>
      <c r="Y181" s="2">
        <v>1543.90002441406</v>
      </c>
      <c r="Z181" s="2">
        <v>1607.09997558593</v>
      </c>
      <c r="AA181" s="2">
        <v>908</v>
      </c>
      <c r="AB181" s="2">
        <v>455.04998779296801</v>
      </c>
      <c r="AC181" s="2">
        <v>150.83000183105401</v>
      </c>
      <c r="AD181" s="2">
        <v>104.75</v>
      </c>
      <c r="AE181" s="2">
        <v>872.45001220703102</v>
      </c>
      <c r="AG181" s="2">
        <v>17107.5</v>
      </c>
      <c r="AH181" s="2">
        <v>58074.6796875</v>
      </c>
      <c r="AI181" s="2">
        <v>27181.060546875</v>
      </c>
    </row>
    <row r="182" spans="1:35" x14ac:dyDescent="0.3">
      <c r="A182" s="1">
        <v>45007</v>
      </c>
      <c r="B182" s="2">
        <v>52.090000152587798</v>
      </c>
      <c r="C182" s="2">
        <v>1189.40002441406</v>
      </c>
      <c r="D182" s="2">
        <v>2005.65002441406</v>
      </c>
      <c r="E182" s="2">
        <v>65.199348449707003</v>
      </c>
      <c r="F182" s="2">
        <v>365.95001220703102</v>
      </c>
      <c r="G182" s="2">
        <v>2180.44995117187</v>
      </c>
      <c r="H182" s="2">
        <v>21.504999160766602</v>
      </c>
      <c r="I182" s="2">
        <v>3592.60009765625</v>
      </c>
      <c r="J182" s="2">
        <v>74.080001831054602</v>
      </c>
      <c r="K182" s="2">
        <v>197.94999694824199</v>
      </c>
      <c r="L182" s="2">
        <v>143</v>
      </c>
      <c r="M182" s="2">
        <v>6214.89990234375</v>
      </c>
      <c r="N182" s="2">
        <v>861.5</v>
      </c>
      <c r="O182" s="2">
        <v>62.290000915527301</v>
      </c>
      <c r="P182" s="2">
        <v>106.84999847412099</v>
      </c>
      <c r="Q182" s="2">
        <v>200.350006103515</v>
      </c>
      <c r="R182" s="2">
        <v>212.53999328613199</v>
      </c>
      <c r="S182" s="2">
        <v>17.7399997711181</v>
      </c>
      <c r="T182" s="2">
        <v>402.75</v>
      </c>
      <c r="U182" s="2">
        <v>65.430000305175696</v>
      </c>
      <c r="V182" s="2">
        <v>878.79998779296795</v>
      </c>
      <c r="W182" s="2">
        <v>372.25</v>
      </c>
      <c r="X182" s="2">
        <v>471.850006103515</v>
      </c>
      <c r="Y182" s="2">
        <v>1525.05004882812</v>
      </c>
      <c r="Z182" s="2">
        <v>1596.44995117187</v>
      </c>
      <c r="AA182" s="2">
        <v>903.40002441406205</v>
      </c>
      <c r="AB182" s="2">
        <v>443.29998779296801</v>
      </c>
      <c r="AC182" s="2">
        <v>149.93499755859301</v>
      </c>
      <c r="AD182" s="2">
        <v>104.800003051757</v>
      </c>
      <c r="AE182" s="2">
        <v>911</v>
      </c>
      <c r="AG182" s="2">
        <v>17151.900390625</v>
      </c>
      <c r="AH182" s="2">
        <v>58214.58984375</v>
      </c>
      <c r="AI182" s="2">
        <v>27139.9296875</v>
      </c>
    </row>
    <row r="183" spans="1:35" x14ac:dyDescent="0.3">
      <c r="A183" s="1">
        <v>45008</v>
      </c>
      <c r="B183" s="2">
        <v>52.139999389648402</v>
      </c>
      <c r="C183" s="2">
        <v>1244.05004882812</v>
      </c>
      <c r="D183" s="2">
        <v>2065.19995117187</v>
      </c>
      <c r="E183" s="2">
        <v>64.899353027343693</v>
      </c>
      <c r="F183" s="2">
        <v>375.75</v>
      </c>
      <c r="G183" s="2">
        <v>2171.05004882812</v>
      </c>
      <c r="H183" s="2">
        <v>21.2199993133544</v>
      </c>
      <c r="I183" s="2">
        <v>3603.85009765625</v>
      </c>
      <c r="J183" s="2">
        <v>72.699996948242102</v>
      </c>
      <c r="K183" s="2">
        <v>193.94999694824199</v>
      </c>
      <c r="L183" s="2">
        <v>148.88999938964801</v>
      </c>
      <c r="M183" s="2">
        <v>6207.25</v>
      </c>
      <c r="N183" s="2">
        <v>856.34997558593705</v>
      </c>
      <c r="O183" s="2">
        <v>61.4799995422363</v>
      </c>
      <c r="P183" s="2">
        <v>107.72499847412099</v>
      </c>
      <c r="Q183" s="2">
        <v>202.19999694824199</v>
      </c>
      <c r="R183" s="2">
        <v>214.69999694824199</v>
      </c>
      <c r="S183" s="2">
        <v>17.889999389648398</v>
      </c>
      <c r="T183" s="2">
        <v>412.42498779296801</v>
      </c>
      <c r="U183" s="2">
        <v>65.495002746582003</v>
      </c>
      <c r="V183" s="2">
        <v>878</v>
      </c>
      <c r="W183" s="2">
        <v>376.70001220703102</v>
      </c>
      <c r="X183" s="2">
        <v>471.39999389648398</v>
      </c>
      <c r="Y183" s="2">
        <v>1541</v>
      </c>
      <c r="Z183" s="2">
        <v>1631</v>
      </c>
      <c r="AA183" s="2">
        <v>901.20001220703102</v>
      </c>
      <c r="AB183" s="2">
        <v>439.39999389648398</v>
      </c>
      <c r="AC183" s="2">
        <v>151.875</v>
      </c>
      <c r="AD183" s="2">
        <v>104.900001525878</v>
      </c>
      <c r="AE183" s="2">
        <v>875.95001220703102</v>
      </c>
      <c r="AG183" s="2">
        <v>17076.900390625</v>
      </c>
      <c r="AH183" s="2">
        <v>57925.28125</v>
      </c>
      <c r="AI183" s="2">
        <v>26767</v>
      </c>
    </row>
    <row r="184" spans="1:35" x14ac:dyDescent="0.3">
      <c r="A184" s="1">
        <v>45009</v>
      </c>
      <c r="B184" s="2">
        <v>51.430000305175703</v>
      </c>
      <c r="C184" s="2">
        <v>1208.69995117187</v>
      </c>
      <c r="D184" s="2">
        <v>2022.40002441406</v>
      </c>
      <c r="E184" s="2">
        <v>61.932712554931598</v>
      </c>
      <c r="F184" s="2">
        <v>367.25</v>
      </c>
      <c r="G184" s="2">
        <v>2132.10009765625</v>
      </c>
      <c r="H184" s="2">
        <v>20.254999160766602</v>
      </c>
      <c r="I184" s="2">
        <v>3599.25</v>
      </c>
      <c r="J184" s="2">
        <v>69.110000610351506</v>
      </c>
      <c r="K184" s="2">
        <v>190.30000305175699</v>
      </c>
      <c r="L184" s="2">
        <v>152.05000305175699</v>
      </c>
      <c r="M184" s="2">
        <v>6183.2998046875</v>
      </c>
      <c r="N184" s="2">
        <v>850.40002441406205</v>
      </c>
      <c r="O184" s="2">
        <v>61.279998779296797</v>
      </c>
      <c r="P184" s="2">
        <v>103.199996948242</v>
      </c>
      <c r="Q184" s="2">
        <v>192.350006103515</v>
      </c>
      <c r="R184" s="2">
        <v>216.509994506835</v>
      </c>
      <c r="S184" s="2">
        <v>17.270000457763601</v>
      </c>
      <c r="T184" s="2">
        <v>410.850006103515</v>
      </c>
      <c r="U184" s="2">
        <v>65.125</v>
      </c>
      <c r="V184" s="2">
        <v>759.04998779296795</v>
      </c>
      <c r="W184" s="2">
        <v>367.75</v>
      </c>
      <c r="X184" s="2">
        <v>472</v>
      </c>
      <c r="Y184" s="2">
        <v>1550.34997558593</v>
      </c>
      <c r="Z184" s="2">
        <v>1611.34997558593</v>
      </c>
      <c r="AA184" s="2">
        <v>924.75</v>
      </c>
      <c r="AB184" s="2">
        <v>433.5</v>
      </c>
      <c r="AC184" s="2">
        <v>151.89999389648401</v>
      </c>
      <c r="AD184" s="2">
        <v>102.09999847412099</v>
      </c>
      <c r="AE184" s="2">
        <v>903.65002441406205</v>
      </c>
      <c r="AG184" s="2">
        <v>16945.05078125</v>
      </c>
      <c r="AH184" s="2">
        <v>57527.1015625</v>
      </c>
      <c r="AI184" s="2">
        <v>26366.44921875</v>
      </c>
    </row>
    <row r="185" spans="1:35" x14ac:dyDescent="0.3">
      <c r="A185" s="1">
        <v>45012</v>
      </c>
      <c r="B185" s="2">
        <v>48.759998321533203</v>
      </c>
      <c r="C185" s="2">
        <v>1189.75</v>
      </c>
      <c r="D185" s="2">
        <v>1985.15002441406</v>
      </c>
      <c r="E185" s="2">
        <v>60.432727813720703</v>
      </c>
      <c r="F185" s="2">
        <v>353.20001220703102</v>
      </c>
      <c r="G185" s="2">
        <v>2055.85009765625</v>
      </c>
      <c r="H185" s="2">
        <v>20.280000686645501</v>
      </c>
      <c r="I185" s="2">
        <v>3511.14990234375</v>
      </c>
      <c r="J185" s="2">
        <v>71.269996643066406</v>
      </c>
      <c r="K185" s="2">
        <v>183.100006103515</v>
      </c>
      <c r="L185" s="2">
        <v>138.28999328613199</v>
      </c>
      <c r="M185" s="2">
        <v>6117.60009765625</v>
      </c>
      <c r="N185" s="2">
        <v>809.25</v>
      </c>
      <c r="O185" s="2">
        <v>58.950000762939403</v>
      </c>
      <c r="P185" s="2">
        <v>102.949996948242</v>
      </c>
      <c r="Q185" s="2">
        <v>183.5</v>
      </c>
      <c r="R185" s="2">
        <v>211.83000183105401</v>
      </c>
      <c r="S185" s="2">
        <v>17.040000915527301</v>
      </c>
      <c r="T185" s="2">
        <v>389.125</v>
      </c>
      <c r="U185" s="2">
        <v>65.565002441406193</v>
      </c>
      <c r="V185" s="2">
        <v>718.90002441406205</v>
      </c>
      <c r="W185" s="2">
        <v>367.39999389648398</v>
      </c>
      <c r="X185" s="2">
        <v>470.5</v>
      </c>
      <c r="Y185" s="2">
        <v>1530.55004882812</v>
      </c>
      <c r="Z185" s="2">
        <v>1588.80004882812</v>
      </c>
      <c r="AA185" s="2">
        <v>928.09997558593705</v>
      </c>
      <c r="AB185" s="2">
        <v>424.5</v>
      </c>
      <c r="AC185" s="2">
        <v>147.47999572753901</v>
      </c>
      <c r="AD185" s="2">
        <v>102.300003051757</v>
      </c>
      <c r="AE185" s="2">
        <v>880.29998779296795</v>
      </c>
      <c r="AG185" s="2">
        <v>16985.69921875</v>
      </c>
      <c r="AH185" s="2">
        <v>57653.859375</v>
      </c>
      <c r="AI185" s="2">
        <v>26159.029296875</v>
      </c>
    </row>
    <row r="186" spans="1:35" x14ac:dyDescent="0.3">
      <c r="A186" s="1">
        <v>45013</v>
      </c>
      <c r="B186" s="2">
        <v>46.7299995422363</v>
      </c>
      <c r="C186" s="2">
        <v>1197.94995117187</v>
      </c>
      <c r="D186" s="2">
        <v>1944.5</v>
      </c>
      <c r="E186" s="2">
        <v>58.632747650146399</v>
      </c>
      <c r="F186" s="2">
        <v>349.95001220703102</v>
      </c>
      <c r="G186" s="2">
        <v>2013.59997558593</v>
      </c>
      <c r="H186" s="2">
        <v>19.940000534057599</v>
      </c>
      <c r="I186" s="2">
        <v>3450.80004882812</v>
      </c>
      <c r="J186" s="2">
        <v>71.680000305175696</v>
      </c>
      <c r="K186" s="2">
        <v>181.19999694824199</v>
      </c>
      <c r="L186" s="2">
        <v>135.17999267578099</v>
      </c>
      <c r="M186" s="2">
        <v>6145.39990234375</v>
      </c>
      <c r="N186" s="2">
        <v>770.84997558593705</v>
      </c>
      <c r="O186" s="2">
        <v>57.169998168945298</v>
      </c>
      <c r="P186" s="2">
        <v>98</v>
      </c>
      <c r="Q186" s="2">
        <v>174.350006103515</v>
      </c>
      <c r="R186" s="2">
        <v>211.94999694824199</v>
      </c>
      <c r="S186" s="2">
        <v>16.1800003051757</v>
      </c>
      <c r="T186" s="2">
        <v>381</v>
      </c>
      <c r="U186" s="2">
        <v>64.309997558593693</v>
      </c>
      <c r="V186" s="2">
        <v>701.70001220703102</v>
      </c>
      <c r="W186" s="2">
        <v>363.5</v>
      </c>
      <c r="X186" s="2">
        <v>469.850006103515</v>
      </c>
      <c r="Y186" s="2">
        <v>1518.19995117187</v>
      </c>
      <c r="Z186" s="2">
        <v>1594.25</v>
      </c>
      <c r="AA186" s="2">
        <v>928.54998779296795</v>
      </c>
      <c r="AB186" s="2">
        <v>419.39999389648398</v>
      </c>
      <c r="AC186" s="2">
        <v>144.23500061035099</v>
      </c>
      <c r="AD186" s="2">
        <v>102.5</v>
      </c>
      <c r="AE186" s="2">
        <v>837.79998779296795</v>
      </c>
      <c r="AG186" s="2">
        <v>16951.69921875</v>
      </c>
      <c r="AH186" s="2">
        <v>57613.71875</v>
      </c>
      <c r="AI186" s="2">
        <v>26598.720703125</v>
      </c>
    </row>
    <row r="187" spans="1:35" x14ac:dyDescent="0.3">
      <c r="A187" s="1">
        <v>45014</v>
      </c>
      <c r="B187" s="2">
        <v>48.110000610351499</v>
      </c>
      <c r="C187" s="2">
        <v>1205.59997558593</v>
      </c>
      <c r="D187" s="2">
        <v>1943.30004882812</v>
      </c>
      <c r="E187" s="2">
        <v>64.199356079101506</v>
      </c>
      <c r="F187" s="2">
        <v>345.75</v>
      </c>
      <c r="G187" s="2">
        <v>2016.09997558593</v>
      </c>
      <c r="H187" s="2">
        <v>19.9500007629394</v>
      </c>
      <c r="I187" s="2">
        <v>3552.14990234375</v>
      </c>
      <c r="J187" s="2">
        <v>73.620002746582003</v>
      </c>
      <c r="K187" s="2">
        <v>188.89999389648401</v>
      </c>
      <c r="L187" s="2">
        <v>138.21000671386699</v>
      </c>
      <c r="M187" s="2">
        <v>6147.5</v>
      </c>
      <c r="N187" s="2">
        <v>815.04998779296795</v>
      </c>
      <c r="O187" s="2">
        <v>60.25</v>
      </c>
      <c r="P187" s="2">
        <v>96.599998474121094</v>
      </c>
      <c r="Q187" s="2">
        <v>183.05000305175699</v>
      </c>
      <c r="R187" s="2">
        <v>209.61000061035099</v>
      </c>
      <c r="S187" s="2">
        <v>15.779999732971101</v>
      </c>
      <c r="T187" s="2">
        <v>376.04998779296801</v>
      </c>
      <c r="U187" s="2">
        <v>64.415000915527301</v>
      </c>
      <c r="V187" s="2">
        <v>715</v>
      </c>
      <c r="W187" s="2">
        <v>364</v>
      </c>
      <c r="X187" s="2">
        <v>471.25</v>
      </c>
      <c r="Y187" s="2">
        <v>1552.65002441406</v>
      </c>
      <c r="Z187" s="2">
        <v>1595.90002441406</v>
      </c>
      <c r="AA187" s="2">
        <v>970.79998779296795</v>
      </c>
      <c r="AB187" s="2">
        <v>421.54998779296801</v>
      </c>
      <c r="AC187" s="2">
        <v>144.55999755859301</v>
      </c>
      <c r="AD187" s="2">
        <v>103.59999847412099</v>
      </c>
      <c r="AE187" s="2">
        <v>830.95001220703102</v>
      </c>
      <c r="AG187" s="2">
        <v>17080.69921875</v>
      </c>
      <c r="AH187" s="2">
        <v>57960.08984375</v>
      </c>
      <c r="AI187" s="2">
        <v>26957.009765625</v>
      </c>
    </row>
    <row r="188" spans="1:35" x14ac:dyDescent="0.3">
      <c r="A188" s="1">
        <v>45016</v>
      </c>
      <c r="B188" s="2">
        <v>49.029998779296797</v>
      </c>
      <c r="C188" s="2">
        <v>1203.80004882812</v>
      </c>
      <c r="D188" s="2">
        <v>1942.65002441406</v>
      </c>
      <c r="E188" s="2">
        <v>65.232681274414006</v>
      </c>
      <c r="F188" s="2">
        <v>347</v>
      </c>
      <c r="G188" s="2">
        <v>2031.90002441406</v>
      </c>
      <c r="H188" s="2">
        <v>21.764999389648398</v>
      </c>
      <c r="I188" s="2">
        <v>3536.25</v>
      </c>
      <c r="J188" s="2">
        <v>69.730003356933594</v>
      </c>
      <c r="K188" s="2">
        <v>186.64999389648401</v>
      </c>
      <c r="L188" s="2">
        <v>137.27999877929599</v>
      </c>
      <c r="M188" s="2">
        <v>6156.64990234375</v>
      </c>
      <c r="N188" s="2">
        <v>793.90002441406205</v>
      </c>
      <c r="O188" s="2">
        <v>60.119998931884702</v>
      </c>
      <c r="P188" s="2">
        <v>96.949996948242102</v>
      </c>
      <c r="Q188" s="2">
        <v>192.19999694824199</v>
      </c>
      <c r="R188" s="2">
        <v>211.67999267578099</v>
      </c>
      <c r="S188" s="2">
        <v>16.520000457763601</v>
      </c>
      <c r="T188" s="2">
        <v>418.70001220703102</v>
      </c>
      <c r="U188" s="2">
        <v>64.650001525878906</v>
      </c>
      <c r="V188" s="2">
        <v>714.20001220703102</v>
      </c>
      <c r="W188" s="2">
        <v>370.95001220703102</v>
      </c>
      <c r="X188" s="2">
        <v>472.70001220703102</v>
      </c>
      <c r="Y188" s="2">
        <v>1537.05004882812</v>
      </c>
      <c r="Z188" s="2">
        <v>1657.34997558593</v>
      </c>
      <c r="AA188" s="2">
        <v>997.79998779296795</v>
      </c>
      <c r="AB188" s="2">
        <v>429.70001220703102</v>
      </c>
      <c r="AC188" s="2">
        <v>144.64500427246</v>
      </c>
      <c r="AD188" s="2">
        <v>104.5</v>
      </c>
      <c r="AE188" s="2">
        <v>827.79998779296795</v>
      </c>
      <c r="AG188" s="2">
        <v>17359.75</v>
      </c>
      <c r="AH188" s="2">
        <v>58991.51953125</v>
      </c>
      <c r="AI188" s="2">
        <v>27271.26953125</v>
      </c>
    </row>
    <row r="189" spans="1:35" x14ac:dyDescent="0.3">
      <c r="A189" s="1">
        <v>45019</v>
      </c>
      <c r="B189" s="2">
        <v>58.830001831054602</v>
      </c>
      <c r="C189" s="2">
        <v>1180.15002441406</v>
      </c>
      <c r="D189" s="2">
        <v>2096.94995117187</v>
      </c>
      <c r="E189" s="2">
        <v>67.892654418945298</v>
      </c>
      <c r="F189" s="2">
        <v>359.04998779296801</v>
      </c>
      <c r="G189" s="2">
        <v>2117.85009765625</v>
      </c>
      <c r="H189" s="2">
        <v>22.790000915527301</v>
      </c>
      <c r="I189" s="2">
        <v>3494.44995117187</v>
      </c>
      <c r="J189" s="2">
        <v>71.139999389648395</v>
      </c>
      <c r="K189" s="2">
        <v>192.75</v>
      </c>
      <c r="L189" s="2">
        <v>137.350006103515</v>
      </c>
      <c r="M189" s="2">
        <v>6193.35009765625</v>
      </c>
      <c r="N189" s="2">
        <v>812.25</v>
      </c>
      <c r="O189" s="2">
        <v>67.089996337890597</v>
      </c>
      <c r="P189" s="2">
        <v>97.349998474121094</v>
      </c>
      <c r="Q189" s="2">
        <v>186.25</v>
      </c>
      <c r="R189" s="2">
        <v>214</v>
      </c>
      <c r="S189" s="2">
        <v>17.409999847412099</v>
      </c>
      <c r="T189" s="2">
        <v>429.975006103515</v>
      </c>
      <c r="U189" s="2">
        <v>66.370002746582003</v>
      </c>
      <c r="V189" s="2">
        <v>739.25</v>
      </c>
      <c r="W189" s="2">
        <v>363.850006103515</v>
      </c>
      <c r="X189" s="2">
        <v>468.75</v>
      </c>
      <c r="Y189" s="2">
        <v>1586.80004882812</v>
      </c>
      <c r="Z189" s="2">
        <v>1689.05004882812</v>
      </c>
      <c r="AA189" s="2">
        <v>1047.65002441406</v>
      </c>
      <c r="AB189" s="2">
        <v>432.04998779296801</v>
      </c>
      <c r="AC189" s="2">
        <v>157.55000305175699</v>
      </c>
      <c r="AD189" s="2">
        <v>104.09999847412099</v>
      </c>
      <c r="AE189" s="2">
        <v>853.95001220703102</v>
      </c>
      <c r="AG189" s="2">
        <v>17398.05078125</v>
      </c>
      <c r="AH189" s="2">
        <v>59106.44140625</v>
      </c>
      <c r="AI189" s="2">
        <v>27531.619140625</v>
      </c>
    </row>
    <row r="190" spans="1:35" x14ac:dyDescent="0.3">
      <c r="A190" s="1">
        <v>45021</v>
      </c>
      <c r="B190" s="2">
        <v>65.660003662109304</v>
      </c>
      <c r="C190" s="2">
        <v>1190.15002441406</v>
      </c>
      <c r="D190" s="2">
        <v>2127.5</v>
      </c>
      <c r="E190" s="2">
        <v>67.025993347167898</v>
      </c>
      <c r="F190" s="2">
        <v>365.04998779296801</v>
      </c>
      <c r="G190" s="2">
        <v>2160.75</v>
      </c>
      <c r="H190" s="2">
        <v>23.1800003051757</v>
      </c>
      <c r="I190" s="2">
        <v>3432.60009765625</v>
      </c>
      <c r="J190" s="2">
        <v>73.870002746582003</v>
      </c>
      <c r="K190" s="2">
        <v>191.30000305175699</v>
      </c>
      <c r="L190" s="2">
        <v>134.83000183105401</v>
      </c>
      <c r="M190" s="2">
        <v>6295.5</v>
      </c>
      <c r="N190" s="2">
        <v>839.90002441406205</v>
      </c>
      <c r="O190" s="2">
        <v>66.059997558593693</v>
      </c>
      <c r="P190" s="2">
        <v>97.775001525878906</v>
      </c>
      <c r="Q190" s="2">
        <v>185.30000305175699</v>
      </c>
      <c r="R190" s="2">
        <v>215.61000061035099</v>
      </c>
      <c r="S190" s="2">
        <v>17.440000534057599</v>
      </c>
      <c r="T190" s="2">
        <v>420.07501220703102</v>
      </c>
      <c r="U190" s="2">
        <v>68.75</v>
      </c>
      <c r="V190" s="2">
        <v>758.90002441406205</v>
      </c>
      <c r="W190" s="2">
        <v>380.600006103515</v>
      </c>
      <c r="X190" s="2">
        <v>469.04998779296801</v>
      </c>
      <c r="Y190" s="2">
        <v>1617.55004882812</v>
      </c>
      <c r="Z190" s="2">
        <v>1718.69995117187</v>
      </c>
      <c r="AA190" s="2">
        <v>1100</v>
      </c>
      <c r="AB190" s="2">
        <v>441.04998779296801</v>
      </c>
      <c r="AC190" s="2">
        <v>158.044998168945</v>
      </c>
      <c r="AD190" s="2">
        <v>104.84999847412099</v>
      </c>
      <c r="AE190" s="2">
        <v>830.45001220703102</v>
      </c>
      <c r="AG190" s="2">
        <v>17557.05078125</v>
      </c>
      <c r="AH190" s="2">
        <v>59689.30859375</v>
      </c>
      <c r="AI190" s="2">
        <v>27725.33984375</v>
      </c>
    </row>
    <row r="191" spans="1:35" x14ac:dyDescent="0.3">
      <c r="A191" s="1">
        <v>45022</v>
      </c>
      <c r="B191" s="2">
        <v>62.930000305175703</v>
      </c>
      <c r="C191" s="2">
        <v>1197.84997558593</v>
      </c>
      <c r="D191" s="2">
        <v>2152.39990234375</v>
      </c>
      <c r="E191" s="2">
        <v>68.599311828613196</v>
      </c>
      <c r="F191" s="2">
        <v>375.79998779296801</v>
      </c>
      <c r="G191" s="2">
        <v>2176.35009765625</v>
      </c>
      <c r="H191" s="2">
        <v>23.540000915527301</v>
      </c>
      <c r="I191" s="2">
        <v>3452.19995117187</v>
      </c>
      <c r="J191" s="2">
        <v>74.760002136230398</v>
      </c>
      <c r="K191" s="2">
        <v>188.64999389648401</v>
      </c>
      <c r="L191" s="2">
        <v>135.61999511718699</v>
      </c>
      <c r="M191" s="2">
        <v>6287.60009765625</v>
      </c>
      <c r="N191" s="2">
        <v>846.04998779296795</v>
      </c>
      <c r="O191" s="2">
        <v>69.419998168945298</v>
      </c>
      <c r="P191" s="2">
        <v>102.125</v>
      </c>
      <c r="Q191" s="2">
        <v>194.55000305175699</v>
      </c>
      <c r="R191" s="2">
        <v>234.74000549316401</v>
      </c>
      <c r="S191" s="2">
        <v>18.030000686645501</v>
      </c>
      <c r="T191" s="2">
        <v>432.125</v>
      </c>
      <c r="U191" s="2">
        <v>68.790000915527301</v>
      </c>
      <c r="V191" s="2">
        <v>774.59997558593705</v>
      </c>
      <c r="W191" s="2">
        <v>382.75</v>
      </c>
      <c r="X191" s="2">
        <v>470.54998779296801</v>
      </c>
      <c r="Y191" s="2">
        <v>1622.34997558593</v>
      </c>
      <c r="Z191" s="2">
        <v>1712.40002441406</v>
      </c>
      <c r="AA191" s="2">
        <v>1155</v>
      </c>
      <c r="AB191" s="2">
        <v>446.20001220703102</v>
      </c>
      <c r="AC191" s="2">
        <v>158.89999389648401</v>
      </c>
      <c r="AD191" s="2">
        <v>104.34999847412099</v>
      </c>
      <c r="AE191" s="2">
        <v>826.25</v>
      </c>
      <c r="AG191" s="2">
        <v>17599.150390625</v>
      </c>
      <c r="AH191" s="2">
        <v>59832.96875</v>
      </c>
      <c r="AI191" s="2">
        <v>27771</v>
      </c>
    </row>
    <row r="192" spans="1:35" x14ac:dyDescent="0.3">
      <c r="A192" s="1">
        <v>45026</v>
      </c>
      <c r="B192" s="2">
        <v>63.939998626708899</v>
      </c>
      <c r="C192" s="2">
        <v>1183.25</v>
      </c>
      <c r="D192" s="2">
        <v>2253.39990234375</v>
      </c>
      <c r="E192" s="2">
        <v>69.492637634277301</v>
      </c>
      <c r="F192" s="2">
        <v>402.600006103515</v>
      </c>
      <c r="G192" s="2">
        <v>2227.75</v>
      </c>
      <c r="H192" s="2">
        <v>23.1149997711181</v>
      </c>
      <c r="I192" s="2">
        <v>3460.14990234375</v>
      </c>
      <c r="J192" s="2">
        <v>76.059997558593693</v>
      </c>
      <c r="K192" s="2">
        <v>190.14999389648401</v>
      </c>
      <c r="L192" s="2">
        <v>135.47000122070301</v>
      </c>
      <c r="M192" s="2">
        <v>6265.39990234375</v>
      </c>
      <c r="N192" s="2">
        <v>843.84997558593705</v>
      </c>
      <c r="O192" s="2">
        <v>68.75</v>
      </c>
      <c r="P192" s="2">
        <v>104.449996948242</v>
      </c>
      <c r="Q192" s="2">
        <v>194.89999389648401</v>
      </c>
      <c r="R192" s="2">
        <v>238.39999389648401</v>
      </c>
      <c r="S192" s="2">
        <v>17.840000152587798</v>
      </c>
      <c r="T192" s="2">
        <v>429.75</v>
      </c>
      <c r="U192" s="2">
        <v>67.449996948242102</v>
      </c>
      <c r="V192" s="2">
        <v>773.90002441406205</v>
      </c>
      <c r="W192" s="2">
        <v>387.45001220703102</v>
      </c>
      <c r="X192" s="2">
        <v>467.04998779296801</v>
      </c>
      <c r="Y192" s="2">
        <v>1604.15002441406</v>
      </c>
      <c r="Z192" s="2">
        <v>1746.19995117187</v>
      </c>
      <c r="AA192" s="2">
        <v>1212.75</v>
      </c>
      <c r="AB192" s="2">
        <v>475.79998779296801</v>
      </c>
      <c r="AC192" s="2">
        <v>158.08500671386699</v>
      </c>
      <c r="AD192" s="2">
        <v>104.949996948242</v>
      </c>
      <c r="AE192" s="2">
        <v>826.70001220703102</v>
      </c>
      <c r="AG192" s="2">
        <v>17624.05078125</v>
      </c>
      <c r="AH192" s="2">
        <v>59846.51171875</v>
      </c>
      <c r="AI192" s="2">
        <v>27942.80078125</v>
      </c>
    </row>
    <row r="193" spans="1:35" x14ac:dyDescent="0.3">
      <c r="A193" s="1">
        <v>45027</v>
      </c>
      <c r="B193" s="2">
        <v>64.139999389648395</v>
      </c>
      <c r="C193" s="2">
        <v>1192.15002441406</v>
      </c>
      <c r="D193" s="2">
        <v>2364.39990234375</v>
      </c>
      <c r="E193" s="2">
        <v>69.239303588867102</v>
      </c>
      <c r="F193" s="2">
        <v>407.20001220703102</v>
      </c>
      <c r="G193" s="2">
        <v>2191.44995117187</v>
      </c>
      <c r="H193" s="2">
        <v>22.905000686645501</v>
      </c>
      <c r="I193" s="2">
        <v>3339.10009765625</v>
      </c>
      <c r="J193" s="2">
        <v>75.629997253417898</v>
      </c>
      <c r="K193" s="2">
        <v>189.600006103515</v>
      </c>
      <c r="L193" s="2">
        <v>137.02000427246</v>
      </c>
      <c r="M193" s="2">
        <v>6180.2001953125</v>
      </c>
      <c r="N193" s="2">
        <v>847.34997558593705</v>
      </c>
      <c r="O193" s="2">
        <v>68.010002136230398</v>
      </c>
      <c r="P193" s="2">
        <v>114.84999847412099</v>
      </c>
      <c r="Q193" s="2">
        <v>192.39999389648401</v>
      </c>
      <c r="R193" s="2">
        <v>232.77999877929599</v>
      </c>
      <c r="S193" s="2">
        <v>17.670000076293899</v>
      </c>
      <c r="T193" s="2">
        <v>447.79998779296801</v>
      </c>
      <c r="U193" s="2">
        <v>66.889999389648395</v>
      </c>
      <c r="V193" s="2">
        <v>793.59997558593705</v>
      </c>
      <c r="W193" s="2">
        <v>375.70001220703102</v>
      </c>
      <c r="X193" s="2">
        <v>465.20001220703102</v>
      </c>
      <c r="Y193" s="2">
        <v>1559.90002441406</v>
      </c>
      <c r="Z193" s="2">
        <v>1755.34997558593</v>
      </c>
      <c r="AA193" s="2">
        <v>1273.34997558593</v>
      </c>
      <c r="AB193" s="2">
        <v>480.350006103515</v>
      </c>
      <c r="AC193" s="2">
        <v>163.169998168945</v>
      </c>
      <c r="AD193" s="2">
        <v>107.550003051757</v>
      </c>
      <c r="AE193" s="2">
        <v>856.54998779296795</v>
      </c>
      <c r="AG193" s="2">
        <v>17722.30078125</v>
      </c>
      <c r="AH193" s="2">
        <v>60157.71875</v>
      </c>
      <c r="AI193" s="2">
        <v>28056.08984375</v>
      </c>
    </row>
    <row r="194" spans="1:35" x14ac:dyDescent="0.3">
      <c r="A194" s="1">
        <v>45028</v>
      </c>
      <c r="B194" s="2">
        <v>65.160003662109304</v>
      </c>
      <c r="C194" s="2">
        <v>1204.09997558593</v>
      </c>
      <c r="D194" s="2">
        <v>2484.80004882812</v>
      </c>
      <c r="E194" s="2">
        <v>69.185974121093693</v>
      </c>
      <c r="F194" s="2">
        <v>405.89999389648398</v>
      </c>
      <c r="G194" s="2">
        <v>2160.94995117187</v>
      </c>
      <c r="H194" s="2">
        <v>22.524999618530199</v>
      </c>
      <c r="I194" s="2">
        <v>3314.14990234375</v>
      </c>
      <c r="J194" s="2">
        <v>75.510002136230398</v>
      </c>
      <c r="K194" s="2">
        <v>193.89999389648401</v>
      </c>
      <c r="L194" s="2">
        <v>145.16000366210901</v>
      </c>
      <c r="M194" s="2">
        <v>6232.9501953125</v>
      </c>
      <c r="N194" s="2">
        <v>856.54998779296795</v>
      </c>
      <c r="O194" s="2">
        <v>69.309997558593693</v>
      </c>
      <c r="P194" s="2">
        <v>110.074996948242</v>
      </c>
      <c r="Q194" s="2">
        <v>187.14999389648401</v>
      </c>
      <c r="R194" s="2">
        <v>230.14999389648401</v>
      </c>
      <c r="S194" s="2">
        <v>17.75</v>
      </c>
      <c r="T194" s="2">
        <v>438.57501220703102</v>
      </c>
      <c r="U194" s="2">
        <v>66.154998779296804</v>
      </c>
      <c r="V194" s="2">
        <v>803.09997558593705</v>
      </c>
      <c r="W194" s="2">
        <v>370.600006103515</v>
      </c>
      <c r="X194" s="2">
        <v>465.25</v>
      </c>
      <c r="Y194" s="2">
        <v>1560.25</v>
      </c>
      <c r="Z194" s="2">
        <v>1763.25</v>
      </c>
      <c r="AA194" s="2">
        <v>1298.84997558593</v>
      </c>
      <c r="AB194" s="2">
        <v>482.89999389648398</v>
      </c>
      <c r="AC194" s="2">
        <v>164.96000671386699</v>
      </c>
      <c r="AD194" s="2">
        <v>107.59999847412099</v>
      </c>
      <c r="AE194" s="2">
        <v>827.75</v>
      </c>
      <c r="AG194" s="2">
        <v>17812.400390625</v>
      </c>
      <c r="AH194" s="2">
        <v>60392.76953125</v>
      </c>
      <c r="AI194" s="2">
        <v>28149.580078125</v>
      </c>
    </row>
    <row r="195" spans="1:35" x14ac:dyDescent="0.3">
      <c r="A195" s="1">
        <v>45029</v>
      </c>
      <c r="B195" s="2">
        <v>65.25</v>
      </c>
      <c r="C195" s="2">
        <v>1191.05004882812</v>
      </c>
      <c r="D195" s="2">
        <v>2502.5</v>
      </c>
      <c r="E195" s="2">
        <v>69.619300842285099</v>
      </c>
      <c r="F195" s="2">
        <v>408.70001220703102</v>
      </c>
      <c r="G195" s="2">
        <v>2139.05004882812</v>
      </c>
      <c r="H195" s="2">
        <v>22.534999847412099</v>
      </c>
      <c r="I195" s="2">
        <v>3392.19995117187</v>
      </c>
      <c r="J195" s="2">
        <v>74.230003356933594</v>
      </c>
      <c r="K195" s="2">
        <v>201.39999389648401</v>
      </c>
      <c r="L195" s="2">
        <v>147.77000427246</v>
      </c>
      <c r="M195" s="2">
        <v>6124.25</v>
      </c>
      <c r="N195" s="2">
        <v>847.95001220703102</v>
      </c>
      <c r="O195" s="2">
        <v>68.089996337890597</v>
      </c>
      <c r="P195" s="2">
        <v>110.675003051757</v>
      </c>
      <c r="Q195" s="2">
        <v>191.69999694824199</v>
      </c>
      <c r="R195" s="2">
        <v>234.53999328613199</v>
      </c>
      <c r="S195" s="2">
        <v>17.819999694824201</v>
      </c>
      <c r="T195" s="2">
        <v>424.100006103515</v>
      </c>
      <c r="U195" s="2">
        <v>66.330001831054602</v>
      </c>
      <c r="V195" s="2">
        <v>801</v>
      </c>
      <c r="W195" s="2">
        <v>372.14999389648398</v>
      </c>
      <c r="X195" s="2">
        <v>465.20001220703102</v>
      </c>
      <c r="Y195" s="2">
        <v>1555.94995117187</v>
      </c>
      <c r="Z195" s="2">
        <v>1755.44995117187</v>
      </c>
      <c r="AA195" s="2">
        <v>1363.75</v>
      </c>
      <c r="AB195" s="2">
        <v>484.04998779296801</v>
      </c>
      <c r="AC195" s="2">
        <v>166.23500061035099</v>
      </c>
      <c r="AD195" s="2">
        <v>107.5</v>
      </c>
      <c r="AE195" s="2">
        <v>823.95001220703102</v>
      </c>
      <c r="AG195" s="2">
        <v>17828</v>
      </c>
      <c r="AH195" s="2">
        <v>60431</v>
      </c>
      <c r="AI195" s="2">
        <v>28186.48046875</v>
      </c>
    </row>
    <row r="196" spans="1:35" x14ac:dyDescent="0.3">
      <c r="A196" s="1">
        <v>45033</v>
      </c>
      <c r="B196" s="2">
        <v>63.819999694824197</v>
      </c>
      <c r="C196" s="2">
        <v>1188.40002441406</v>
      </c>
      <c r="D196" s="2">
        <v>2377</v>
      </c>
      <c r="E196" s="2">
        <v>69.192642211914006</v>
      </c>
      <c r="F196" s="2">
        <v>409.20001220703102</v>
      </c>
      <c r="G196" s="2">
        <v>2099.94995117187</v>
      </c>
      <c r="H196" s="2">
        <v>22.424999237060501</v>
      </c>
      <c r="I196" s="2">
        <v>3362.30004882812</v>
      </c>
      <c r="J196" s="2">
        <v>73.040000915527301</v>
      </c>
      <c r="K196" s="2">
        <v>204.25</v>
      </c>
      <c r="L196" s="2">
        <v>144.69000244140599</v>
      </c>
      <c r="M196" s="2">
        <v>6146.4501953125</v>
      </c>
      <c r="N196" s="2">
        <v>850.29998779296795</v>
      </c>
      <c r="O196" s="2">
        <v>68.410003662109304</v>
      </c>
      <c r="P196" s="2">
        <v>107.449996948242</v>
      </c>
      <c r="Q196" s="2">
        <v>186.600006103515</v>
      </c>
      <c r="R196" s="2">
        <v>240.33999633789</v>
      </c>
      <c r="S196" s="2">
        <v>17.6800003051757</v>
      </c>
      <c r="T196" s="2">
        <v>399.75</v>
      </c>
      <c r="U196" s="2">
        <v>65.650001525878906</v>
      </c>
      <c r="V196" s="2">
        <v>803.70001220703102</v>
      </c>
      <c r="W196" s="2">
        <v>370.45001220703102</v>
      </c>
      <c r="X196" s="2">
        <v>465.04998779296801</v>
      </c>
      <c r="Y196" s="2">
        <v>1543.40002441406</v>
      </c>
      <c r="Z196" s="2">
        <v>1718.80004882812</v>
      </c>
      <c r="AA196" s="2">
        <v>1431.90002441406</v>
      </c>
      <c r="AB196" s="2">
        <v>490</v>
      </c>
      <c r="AC196" s="2">
        <v>166.169998168945</v>
      </c>
      <c r="AD196" s="2">
        <v>107.150001525878</v>
      </c>
      <c r="AE196" s="2">
        <v>827.5</v>
      </c>
      <c r="AG196" s="2">
        <v>17706.849609375</v>
      </c>
      <c r="AH196" s="2">
        <v>59910.75</v>
      </c>
      <c r="AI196" s="2">
        <v>28247.44921875</v>
      </c>
    </row>
    <row r="197" spans="1:35" x14ac:dyDescent="0.3">
      <c r="A197" s="1">
        <v>45034</v>
      </c>
      <c r="B197" s="2">
        <v>63.599998474121001</v>
      </c>
      <c r="C197" s="2">
        <v>1226.90002441406</v>
      </c>
      <c r="D197" s="2">
        <v>2395.94995117187</v>
      </c>
      <c r="E197" s="2">
        <v>68.459312438964801</v>
      </c>
      <c r="F197" s="2">
        <v>416.54998779296801</v>
      </c>
      <c r="G197" s="2">
        <v>2126.60009765625</v>
      </c>
      <c r="H197" s="2">
        <v>22.565000534057599</v>
      </c>
      <c r="I197" s="2">
        <v>3381.10009765625</v>
      </c>
      <c r="J197" s="2">
        <v>74.589996337890597</v>
      </c>
      <c r="K197" s="2">
        <v>198.14999389648401</v>
      </c>
      <c r="L197" s="2">
        <v>147.58999633789</v>
      </c>
      <c r="M197" s="2">
        <v>6224.9501953125</v>
      </c>
      <c r="N197" s="2">
        <v>847.90002441406205</v>
      </c>
      <c r="O197" s="2">
        <v>69.050003051757798</v>
      </c>
      <c r="P197" s="2">
        <v>102.375</v>
      </c>
      <c r="Q197" s="2">
        <v>186.94999694824199</v>
      </c>
      <c r="R197" s="2">
        <v>240.42999267578099</v>
      </c>
      <c r="S197" s="2">
        <v>17.639999389648398</v>
      </c>
      <c r="T197" s="2">
        <v>399.67498779296801</v>
      </c>
      <c r="U197" s="2">
        <v>65.235000610351506</v>
      </c>
      <c r="V197" s="2">
        <v>800.84997558593705</v>
      </c>
      <c r="W197" s="2">
        <v>374.95001220703102</v>
      </c>
      <c r="X197" s="2">
        <v>464.850006103515</v>
      </c>
      <c r="Y197" s="2">
        <v>1550.30004882812</v>
      </c>
      <c r="Z197" s="2">
        <v>1715.80004882812</v>
      </c>
      <c r="AA197" s="2">
        <v>1476.94995117187</v>
      </c>
      <c r="AB197" s="2">
        <v>495</v>
      </c>
      <c r="AC197" s="2">
        <v>167.31500244140599</v>
      </c>
      <c r="AD197" s="2">
        <v>107.59999847412099</v>
      </c>
      <c r="AE197" s="2">
        <v>812.65002441406205</v>
      </c>
      <c r="AG197" s="2">
        <v>17660.150390625</v>
      </c>
      <c r="AH197" s="2">
        <v>59727.01171875</v>
      </c>
      <c r="AI197" s="2">
        <v>28281.099609375</v>
      </c>
    </row>
    <row r="198" spans="1:35" x14ac:dyDescent="0.3">
      <c r="A198" s="1">
        <v>45035</v>
      </c>
      <c r="B198" s="2">
        <v>63.520000457763601</v>
      </c>
      <c r="C198" s="2">
        <v>1230.55004882812</v>
      </c>
      <c r="D198" s="2">
        <v>2344.39990234375</v>
      </c>
      <c r="E198" s="2">
        <v>68.332649230957003</v>
      </c>
      <c r="F198" s="2">
        <v>421.04998779296801</v>
      </c>
      <c r="G198" s="2">
        <v>2116.44995117187</v>
      </c>
      <c r="H198" s="2">
        <v>22.375</v>
      </c>
      <c r="I198" s="2">
        <v>3382.85009765625</v>
      </c>
      <c r="J198" s="2">
        <v>74.949996948242102</v>
      </c>
      <c r="K198" s="2">
        <v>202.100006103515</v>
      </c>
      <c r="L198" s="2">
        <v>145.57000732421801</v>
      </c>
      <c r="M198" s="2">
        <v>6235</v>
      </c>
      <c r="N198" s="2">
        <v>850.29998779296795</v>
      </c>
      <c r="O198" s="2">
        <v>71.069999694824205</v>
      </c>
      <c r="P198" s="2">
        <v>102</v>
      </c>
      <c r="Q198" s="2">
        <v>183.80000305175699</v>
      </c>
      <c r="R198" s="2">
        <v>242.02999877929599</v>
      </c>
      <c r="S198" s="2">
        <v>17.819999694824201</v>
      </c>
      <c r="T198" s="2">
        <v>413.27499389648398</v>
      </c>
      <c r="U198" s="2">
        <v>65.190002441406193</v>
      </c>
      <c r="V198" s="2">
        <v>797.84997558593705</v>
      </c>
      <c r="W198" s="2">
        <v>375.20001220703102</v>
      </c>
      <c r="X198" s="2">
        <v>471.75</v>
      </c>
      <c r="Y198" s="2">
        <v>1532.55004882812</v>
      </c>
      <c r="Z198" s="2">
        <v>1739.69995117187</v>
      </c>
      <c r="AA198" s="2">
        <v>1533.94995117187</v>
      </c>
      <c r="AB198" s="2">
        <v>504.70001220703102</v>
      </c>
      <c r="AC198" s="2">
        <v>167.39500427246</v>
      </c>
      <c r="AD198" s="2">
        <v>108.09999847412099</v>
      </c>
      <c r="AE198" s="2">
        <v>808.65002441406205</v>
      </c>
      <c r="AG198" s="2">
        <v>17618.75</v>
      </c>
      <c r="AH198" s="2">
        <v>59567.80078125</v>
      </c>
      <c r="AI198" s="2">
        <v>28310.01953125</v>
      </c>
    </row>
    <row r="199" spans="1:35" x14ac:dyDescent="0.3">
      <c r="A199" s="1">
        <v>45036</v>
      </c>
      <c r="B199" s="2">
        <v>63.930000305175703</v>
      </c>
      <c r="C199" s="2">
        <v>1226</v>
      </c>
      <c r="D199" s="2">
        <v>2221.35009765625</v>
      </c>
      <c r="E199" s="2">
        <v>67.999320983886705</v>
      </c>
      <c r="F199" s="2">
        <v>423.04998779296801</v>
      </c>
      <c r="G199" s="2">
        <v>2101.25</v>
      </c>
      <c r="H199" s="2">
        <v>22.524999618530199</v>
      </c>
      <c r="I199" s="2">
        <v>3382.05004882812</v>
      </c>
      <c r="J199" s="2">
        <v>74</v>
      </c>
      <c r="K199" s="2">
        <v>200.350006103515</v>
      </c>
      <c r="L199" s="2">
        <v>148.600006103515</v>
      </c>
      <c r="M199" s="2">
        <v>6166.0498046875</v>
      </c>
      <c r="N199" s="2">
        <v>851.25</v>
      </c>
      <c r="O199" s="2">
        <v>71.279998779296804</v>
      </c>
      <c r="P199" s="2">
        <v>100.625</v>
      </c>
      <c r="Q199" s="2">
        <v>183.80000305175699</v>
      </c>
      <c r="R199" s="2">
        <v>243.30999755859301</v>
      </c>
      <c r="S199" s="2">
        <v>17.709999084472599</v>
      </c>
      <c r="T199" s="2">
        <v>407.14999389648398</v>
      </c>
      <c r="U199" s="2">
        <v>65.150001525878906</v>
      </c>
      <c r="V199" s="2">
        <v>797.45001220703102</v>
      </c>
      <c r="W199" s="2">
        <v>375.25</v>
      </c>
      <c r="X199" s="2">
        <v>471.600006103515</v>
      </c>
      <c r="Y199" s="2">
        <v>1543.05004882812</v>
      </c>
      <c r="Z199" s="2">
        <v>1737</v>
      </c>
      <c r="AA199" s="2">
        <v>1500.59997558593</v>
      </c>
      <c r="AB199" s="2">
        <v>471.100006103515</v>
      </c>
      <c r="AC199" s="2">
        <v>168.38999938964801</v>
      </c>
      <c r="AD199" s="2">
        <v>108</v>
      </c>
      <c r="AE199" s="2">
        <v>815.20001220703102</v>
      </c>
      <c r="AG199" s="2">
        <v>17624.44921875</v>
      </c>
      <c r="AH199" s="2">
        <v>59632.3515625</v>
      </c>
      <c r="AI199" s="2">
        <v>28234.259765625</v>
      </c>
    </row>
    <row r="200" spans="1:35" x14ac:dyDescent="0.3">
      <c r="A200" s="1">
        <v>45037</v>
      </c>
      <c r="B200" s="2">
        <v>62.720001220703097</v>
      </c>
      <c r="C200" s="2">
        <v>1230.69995117187</v>
      </c>
      <c r="D200" s="2">
        <v>2184.55004882812</v>
      </c>
      <c r="E200" s="2">
        <v>67.812652587890597</v>
      </c>
      <c r="F200" s="2">
        <v>426.45001220703102</v>
      </c>
      <c r="G200" s="2">
        <v>2065.89990234375</v>
      </c>
      <c r="H200" s="2">
        <v>22.495000839233398</v>
      </c>
      <c r="I200" s="2">
        <v>3391.30004882812</v>
      </c>
      <c r="J200" s="2">
        <v>73.809997558593693</v>
      </c>
      <c r="K200" s="2">
        <v>200.55000305175699</v>
      </c>
      <c r="L200" s="2">
        <v>148.97000122070301</v>
      </c>
      <c r="M200" s="2">
        <v>6250.75</v>
      </c>
      <c r="N200" s="2">
        <v>850</v>
      </c>
      <c r="O200" s="2">
        <v>68.419998168945298</v>
      </c>
      <c r="P200" s="2">
        <v>97.949996948242102</v>
      </c>
      <c r="Q200" s="2">
        <v>184.39999389648401</v>
      </c>
      <c r="R200" s="2">
        <v>245.05000305175699</v>
      </c>
      <c r="S200" s="2">
        <v>17.870000839233398</v>
      </c>
      <c r="T200" s="2">
        <v>412.725006103515</v>
      </c>
      <c r="U200" s="2">
        <v>66.209999084472599</v>
      </c>
      <c r="V200" s="2">
        <v>787.75</v>
      </c>
      <c r="W200" s="2">
        <v>373.25</v>
      </c>
      <c r="X200" s="2">
        <v>472.100006103515</v>
      </c>
      <c r="Y200" s="2">
        <v>1574</v>
      </c>
      <c r="Z200" s="2">
        <v>1725.84997558593</v>
      </c>
      <c r="AA200" s="2">
        <v>1466</v>
      </c>
      <c r="AB200" s="2">
        <v>458.14999389648398</v>
      </c>
      <c r="AC200" s="2">
        <v>160.19999694824199</v>
      </c>
      <c r="AD200" s="2">
        <v>106.150001525878</v>
      </c>
      <c r="AE200" s="2">
        <v>808.70001220703102</v>
      </c>
      <c r="AG200" s="2">
        <v>17624.05078125</v>
      </c>
      <c r="AH200" s="2">
        <v>59655.05859375</v>
      </c>
      <c r="AI200" s="2">
        <v>28329.130859375</v>
      </c>
    </row>
    <row r="201" spans="1:35" x14ac:dyDescent="0.3">
      <c r="A201" s="1">
        <v>45040</v>
      </c>
      <c r="B201" s="2">
        <v>63.2299995422363</v>
      </c>
      <c r="C201" s="2">
        <v>1219.25</v>
      </c>
      <c r="D201" s="2">
        <v>2191.75</v>
      </c>
      <c r="E201" s="2">
        <v>67.639320373535099</v>
      </c>
      <c r="F201" s="2">
        <v>427.04998779296801</v>
      </c>
      <c r="G201" s="2">
        <v>2035.05004882812</v>
      </c>
      <c r="H201" s="2">
        <v>22.534999847412099</v>
      </c>
      <c r="I201" s="2">
        <v>3346.85009765625</v>
      </c>
      <c r="J201" s="2">
        <v>73.019996643066406</v>
      </c>
      <c r="K201" s="2">
        <v>199.39999389648401</v>
      </c>
      <c r="L201" s="2">
        <v>152.32000732421801</v>
      </c>
      <c r="M201" s="2">
        <v>6395.60009765625</v>
      </c>
      <c r="N201" s="2">
        <v>851.54998779296795</v>
      </c>
      <c r="O201" s="2">
        <v>68.919998168945298</v>
      </c>
      <c r="P201" s="2">
        <v>98.925003051757798</v>
      </c>
      <c r="Q201" s="2">
        <v>179.350006103515</v>
      </c>
      <c r="R201" s="2">
        <v>242.77999877929599</v>
      </c>
      <c r="S201" s="2">
        <v>17.559999465942301</v>
      </c>
      <c r="T201" s="2">
        <v>406.39999389648398</v>
      </c>
      <c r="U201" s="2">
        <v>66.010002136230398</v>
      </c>
      <c r="V201" s="2">
        <v>790.20001220703102</v>
      </c>
      <c r="W201" s="2">
        <v>369.70001220703102</v>
      </c>
      <c r="X201" s="2">
        <v>471</v>
      </c>
      <c r="Y201" s="2">
        <v>1591.59997558593</v>
      </c>
      <c r="Z201" s="2">
        <v>1724.65002441406</v>
      </c>
      <c r="AA201" s="2">
        <v>1539.30004882812</v>
      </c>
      <c r="AB201" s="2">
        <v>455.54998779296801</v>
      </c>
      <c r="AC201" s="2">
        <v>154.5</v>
      </c>
      <c r="AD201" s="2">
        <v>106.5</v>
      </c>
      <c r="AE201" s="2">
        <v>806.20001220703102</v>
      </c>
      <c r="AG201" s="2">
        <v>17743.400390625</v>
      </c>
      <c r="AH201" s="2">
        <v>60056.1015625</v>
      </c>
      <c r="AI201" s="2">
        <v>28384.1796875</v>
      </c>
    </row>
    <row r="202" spans="1:35" x14ac:dyDescent="0.3">
      <c r="A202" s="1">
        <v>45041</v>
      </c>
      <c r="B202" s="2">
        <v>62.990001678466797</v>
      </c>
      <c r="C202" s="2">
        <v>1218.75</v>
      </c>
      <c r="D202" s="2">
        <v>2141.60009765625</v>
      </c>
      <c r="E202" s="2">
        <v>66.972663879394503</v>
      </c>
      <c r="F202" s="2">
        <v>430.25</v>
      </c>
      <c r="G202" s="2">
        <v>2047.90002441406</v>
      </c>
      <c r="H202" s="2">
        <v>22.4899997711181</v>
      </c>
      <c r="I202" s="2">
        <v>3285.5</v>
      </c>
      <c r="J202" s="2">
        <v>73.699996948242102</v>
      </c>
      <c r="K202" s="2">
        <v>200.14999389648401</v>
      </c>
      <c r="L202" s="2">
        <v>149.32000732421801</v>
      </c>
      <c r="M202" s="2">
        <v>6306.10009765625</v>
      </c>
      <c r="N202" s="2">
        <v>874.70001220703102</v>
      </c>
      <c r="O202" s="2">
        <v>69.230003356933594</v>
      </c>
      <c r="P202" s="2">
        <v>102.574996948242</v>
      </c>
      <c r="Q202" s="2">
        <v>183</v>
      </c>
      <c r="R202" s="2">
        <v>236.94000244140599</v>
      </c>
      <c r="S202" s="2">
        <v>17.540000915527301</v>
      </c>
      <c r="T202" s="2">
        <v>418.52499389648398</v>
      </c>
      <c r="U202" s="2">
        <v>65.925003051757798</v>
      </c>
      <c r="V202" s="2">
        <v>798.75</v>
      </c>
      <c r="W202" s="2">
        <v>378.350006103515</v>
      </c>
      <c r="X202" s="2">
        <v>471.100006103515</v>
      </c>
      <c r="Y202" s="2">
        <v>1592</v>
      </c>
      <c r="Z202" s="2">
        <v>1742.94995117187</v>
      </c>
      <c r="AA202" s="2">
        <v>1616.25</v>
      </c>
      <c r="AB202" s="2">
        <v>449.25</v>
      </c>
      <c r="AC202" s="2">
        <v>150.64999389648401</v>
      </c>
      <c r="AD202" s="2">
        <v>107.050003051757</v>
      </c>
      <c r="AE202" s="2">
        <v>800.70001220703102</v>
      </c>
      <c r="AG202" s="2">
        <v>17769.25</v>
      </c>
      <c r="AH202" s="2">
        <v>60130.7109375</v>
      </c>
      <c r="AI202" s="2">
        <v>28479.33984375</v>
      </c>
    </row>
    <row r="203" spans="1:35" x14ac:dyDescent="0.3">
      <c r="A203" s="1">
        <v>45042</v>
      </c>
      <c r="B203" s="2">
        <v>62.680000305175703</v>
      </c>
      <c r="C203" s="2">
        <v>1208.34997558593</v>
      </c>
      <c r="D203" s="2">
        <v>2096.35009765625</v>
      </c>
      <c r="E203" s="2">
        <v>67.119331359863196</v>
      </c>
      <c r="F203" s="2">
        <v>436.5</v>
      </c>
      <c r="G203" s="2">
        <v>2060.39990234375</v>
      </c>
      <c r="H203" s="2">
        <v>23.059999465942301</v>
      </c>
      <c r="I203" s="2">
        <v>3344.39990234375</v>
      </c>
      <c r="J203" s="2">
        <v>73.360000610351506</v>
      </c>
      <c r="K203" s="2">
        <v>199.89999389648401</v>
      </c>
      <c r="L203" s="2">
        <v>151.44999694824199</v>
      </c>
      <c r="M203" s="2">
        <v>6330.5498046875</v>
      </c>
      <c r="N203" s="2">
        <v>884.04998779296795</v>
      </c>
      <c r="O203" s="2">
        <v>68.879997253417898</v>
      </c>
      <c r="P203" s="2">
        <v>100.25</v>
      </c>
      <c r="Q203" s="2">
        <v>182.39999389648401</v>
      </c>
      <c r="R203" s="2">
        <v>238.69999694824199</v>
      </c>
      <c r="S203" s="2">
        <v>17.579999923706001</v>
      </c>
      <c r="T203" s="2">
        <v>409.04998779296801</v>
      </c>
      <c r="U203" s="2">
        <v>69.194999694824205</v>
      </c>
      <c r="V203" s="2">
        <v>793.15002441406205</v>
      </c>
      <c r="W203" s="2">
        <v>382.54998779296801</v>
      </c>
      <c r="X203" s="2">
        <v>473</v>
      </c>
      <c r="Y203" s="2">
        <v>1596.69995117187</v>
      </c>
      <c r="Z203" s="2">
        <v>1849.19995117187</v>
      </c>
      <c r="AA203" s="2">
        <v>1615.05004882812</v>
      </c>
      <c r="AB203" s="2">
        <v>435.89999389648398</v>
      </c>
      <c r="AC203" s="2">
        <v>150.44999694824199</v>
      </c>
      <c r="AD203" s="2">
        <v>106.84999847412099</v>
      </c>
      <c r="AE203" s="2">
        <v>808.5</v>
      </c>
      <c r="AG203" s="2">
        <v>17813.599609375</v>
      </c>
      <c r="AH203" s="2">
        <v>60300.578125</v>
      </c>
      <c r="AI203" s="2">
        <v>28654.98046875</v>
      </c>
    </row>
    <row r="204" spans="1:35" x14ac:dyDescent="0.3">
      <c r="A204" s="1">
        <v>45043</v>
      </c>
      <c r="B204" s="2">
        <v>64.459999084472599</v>
      </c>
      <c r="C204" s="2">
        <v>1201.05004882812</v>
      </c>
      <c r="D204" s="2">
        <v>2099.64990234375</v>
      </c>
      <c r="E204" s="2">
        <v>67.012664794921804</v>
      </c>
      <c r="F204" s="2">
        <v>430.75</v>
      </c>
      <c r="G204" s="2">
        <v>2047.40002441406</v>
      </c>
      <c r="H204" s="2">
        <v>23.030000686645501</v>
      </c>
      <c r="I204" s="2">
        <v>3420.10009765625</v>
      </c>
      <c r="J204" s="2">
        <v>72.569999694824205</v>
      </c>
      <c r="K204" s="2">
        <v>197.30000305175699</v>
      </c>
      <c r="L204" s="2">
        <v>150.27999877929599</v>
      </c>
      <c r="M204" s="2">
        <v>6309.35009765625</v>
      </c>
      <c r="N204" s="2">
        <v>882.54998779296795</v>
      </c>
      <c r="O204" s="2">
        <v>72.290000915527301</v>
      </c>
      <c r="P204" s="2">
        <v>102.47499847412099</v>
      </c>
      <c r="Q204" s="2">
        <v>181.75</v>
      </c>
      <c r="R204" s="2">
        <v>240.67999267578099</v>
      </c>
      <c r="S204" s="2">
        <v>17.75</v>
      </c>
      <c r="T204" s="2">
        <v>419.04998779296801</v>
      </c>
      <c r="U204" s="2">
        <v>69.430000305175696</v>
      </c>
      <c r="V204" s="2">
        <v>792.54998779296795</v>
      </c>
      <c r="W204" s="2">
        <v>377.04998779296801</v>
      </c>
      <c r="X204" s="2">
        <v>471.5</v>
      </c>
      <c r="Y204" s="2">
        <v>1664.30004882812</v>
      </c>
      <c r="Z204" s="2">
        <v>1874.15002441406</v>
      </c>
      <c r="AA204" s="2">
        <v>1583.09997558593</v>
      </c>
      <c r="AB204" s="2">
        <v>442.54998779296801</v>
      </c>
      <c r="AC204" s="2">
        <v>152.600006103515</v>
      </c>
      <c r="AD204" s="2">
        <v>107.650001525878</v>
      </c>
      <c r="AE204" s="2">
        <v>799.84997558593705</v>
      </c>
      <c r="AG204" s="2">
        <v>17915.05078125</v>
      </c>
      <c r="AH204" s="2">
        <v>60649.37890625</v>
      </c>
      <c r="AI204" s="2">
        <v>28917.0703125</v>
      </c>
    </row>
    <row r="205" spans="1:35" x14ac:dyDescent="0.3">
      <c r="A205" s="1">
        <v>45044</v>
      </c>
      <c r="B205" s="2">
        <v>64.680000305175696</v>
      </c>
      <c r="C205" s="2">
        <v>1195.44995117187</v>
      </c>
      <c r="D205" s="2">
        <v>2101.19995117187</v>
      </c>
      <c r="E205" s="2">
        <v>67.139328002929602</v>
      </c>
      <c r="F205" s="2">
        <v>428.100006103515</v>
      </c>
      <c r="G205" s="2">
        <v>2062</v>
      </c>
      <c r="H205" s="2">
        <v>24.004999160766602</v>
      </c>
      <c r="I205" s="2">
        <v>3478.89990234375</v>
      </c>
      <c r="J205" s="2">
        <v>71.330001831054602</v>
      </c>
      <c r="K205" s="2">
        <v>201.30000305175699</v>
      </c>
      <c r="L205" s="2">
        <v>147.05000305175699</v>
      </c>
      <c r="M205" s="2">
        <v>6363.2998046875</v>
      </c>
      <c r="N205" s="2">
        <v>906.95001220703102</v>
      </c>
      <c r="O205" s="2">
        <v>73.870002746582003</v>
      </c>
      <c r="P205" s="2">
        <v>105.074996948242</v>
      </c>
      <c r="Q205" s="2">
        <v>189.44999694824199</v>
      </c>
      <c r="R205" s="2">
        <v>239.05999755859301</v>
      </c>
      <c r="S205" s="2">
        <v>18.190000534057599</v>
      </c>
      <c r="T205" s="2">
        <v>427.17498779296801</v>
      </c>
      <c r="U205" s="2">
        <v>70.180000305175696</v>
      </c>
      <c r="V205" s="2">
        <v>792.40002441406205</v>
      </c>
      <c r="W205" s="2">
        <v>382.70001220703102</v>
      </c>
      <c r="X205" s="2">
        <v>471.54998779296801</v>
      </c>
      <c r="Y205" s="2">
        <v>1739.55004882812</v>
      </c>
      <c r="Z205" s="2">
        <v>1845.40002441406</v>
      </c>
      <c r="AA205" s="2">
        <v>1605.75</v>
      </c>
      <c r="AB205" s="2">
        <v>441.95001220703102</v>
      </c>
      <c r="AC205" s="2">
        <v>151.44999694824199</v>
      </c>
      <c r="AD205" s="2">
        <v>107.949996948242</v>
      </c>
      <c r="AE205" s="2">
        <v>794.09997558593705</v>
      </c>
      <c r="AG205" s="2">
        <v>18065</v>
      </c>
      <c r="AH205" s="2">
        <v>61112.44140625</v>
      </c>
      <c r="AI205" s="2">
        <v>29100.5</v>
      </c>
    </row>
    <row r="206" spans="1:35" x14ac:dyDescent="0.3">
      <c r="A206" s="1">
        <v>45048</v>
      </c>
      <c r="B206" s="2">
        <v>63.810001373291001</v>
      </c>
      <c r="C206" s="2">
        <v>1198.90002441406</v>
      </c>
      <c r="D206" s="2">
        <v>2223</v>
      </c>
      <c r="E206" s="2">
        <v>67.999320983886705</v>
      </c>
      <c r="F206" s="2">
        <v>430.64999389648398</v>
      </c>
      <c r="G206" s="2">
        <v>2050.35009765625</v>
      </c>
      <c r="H206" s="2">
        <v>24.204999923706001</v>
      </c>
      <c r="I206" s="2">
        <v>3447.80004882812</v>
      </c>
      <c r="J206" s="2">
        <v>71.099998474121094</v>
      </c>
      <c r="K206" s="2">
        <v>210.25</v>
      </c>
      <c r="L206" s="2">
        <v>149.02000427246</v>
      </c>
      <c r="M206" s="2">
        <v>6321.2001953125</v>
      </c>
      <c r="N206" s="2">
        <v>932.90002441406205</v>
      </c>
      <c r="O206" s="2">
        <v>74.300003051757798</v>
      </c>
      <c r="P206" s="2">
        <v>105</v>
      </c>
      <c r="Q206" s="2">
        <v>185.850006103515</v>
      </c>
      <c r="R206" s="2">
        <v>239.100006103515</v>
      </c>
      <c r="S206" s="2">
        <v>18.850000381469702</v>
      </c>
      <c r="T206" s="2">
        <v>429.79998779296801</v>
      </c>
      <c r="U206" s="2">
        <v>67.300003051757798</v>
      </c>
      <c r="V206" s="2">
        <v>792.20001220703102</v>
      </c>
      <c r="W206" s="2">
        <v>379.95001220703102</v>
      </c>
      <c r="X206" s="2">
        <v>469.75</v>
      </c>
      <c r="Y206" s="2">
        <v>1786.30004882812</v>
      </c>
      <c r="Z206" s="2">
        <v>1973.55004882812</v>
      </c>
      <c r="AA206" s="2">
        <v>1559.80004882812</v>
      </c>
      <c r="AB206" s="2">
        <v>446.89999389648398</v>
      </c>
      <c r="AC206" s="2">
        <v>152.30000305175699</v>
      </c>
      <c r="AD206" s="2">
        <v>110.300003051757</v>
      </c>
      <c r="AE206" s="2">
        <v>794.79998779296795</v>
      </c>
      <c r="AG206" s="2">
        <v>18147.650390625</v>
      </c>
      <c r="AH206" s="2">
        <v>61354.7109375</v>
      </c>
      <c r="AI206" s="2">
        <v>29157.259765625</v>
      </c>
    </row>
    <row r="207" spans="1:35" x14ac:dyDescent="0.3">
      <c r="A207" s="1">
        <v>45049</v>
      </c>
      <c r="B207" s="2">
        <v>63.430000305175703</v>
      </c>
      <c r="C207" s="2">
        <v>1192.25</v>
      </c>
      <c r="D207" s="2">
        <v>2297.35009765625</v>
      </c>
      <c r="E207" s="2">
        <v>75.332580566406193</v>
      </c>
      <c r="F207" s="2">
        <v>431.600006103515</v>
      </c>
      <c r="G207" s="2">
        <v>2052.94995117187</v>
      </c>
      <c r="H207" s="2">
        <v>23.905000686645501</v>
      </c>
      <c r="I207" s="2">
        <v>3443.25</v>
      </c>
      <c r="J207" s="2">
        <v>73.309997558593693</v>
      </c>
      <c r="K207" s="2">
        <v>211.89999389648401</v>
      </c>
      <c r="L207" s="2">
        <v>146.32000732421801</v>
      </c>
      <c r="M207" s="2">
        <v>6370.7001953125</v>
      </c>
      <c r="N207" s="2">
        <v>918.79998779296795</v>
      </c>
      <c r="O207" s="2">
        <v>72.589996337890597</v>
      </c>
      <c r="P207" s="2">
        <v>104.34999847412099</v>
      </c>
      <c r="Q207" s="2">
        <v>182.600006103515</v>
      </c>
      <c r="R207" s="2">
        <v>236.05000305175699</v>
      </c>
      <c r="S207" s="2">
        <v>19.040000915527301</v>
      </c>
      <c r="T207" s="2">
        <v>425.27499389648398</v>
      </c>
      <c r="U207" s="2">
        <v>66.315002441406193</v>
      </c>
      <c r="V207" s="2">
        <v>805.09997558593705</v>
      </c>
      <c r="W207" s="2">
        <v>374.850006103515</v>
      </c>
      <c r="X207" s="2">
        <v>470.20001220703102</v>
      </c>
      <c r="Y207" s="2">
        <v>1770.69995117187</v>
      </c>
      <c r="Z207" s="2">
        <v>2018.80004882812</v>
      </c>
      <c r="AA207" s="2">
        <v>1613.44995117187</v>
      </c>
      <c r="AB207" s="2">
        <v>453.20001220703102</v>
      </c>
      <c r="AC207" s="2">
        <v>151.44999694824199</v>
      </c>
      <c r="AD207" s="2">
        <v>109.699996948242</v>
      </c>
      <c r="AE207" s="2">
        <v>798.59997558593705</v>
      </c>
      <c r="AG207" s="2">
        <v>18089.849609375</v>
      </c>
      <c r="AH207" s="2">
        <v>61193.30078125</v>
      </c>
      <c r="AI207" s="2">
        <v>29399.5</v>
      </c>
    </row>
    <row r="208" spans="1:35" x14ac:dyDescent="0.3">
      <c r="A208" s="1">
        <v>45050</v>
      </c>
      <c r="B208" s="2">
        <v>63.909999847412102</v>
      </c>
      <c r="C208" s="2">
        <v>1203.40002441406</v>
      </c>
      <c r="D208" s="2">
        <v>2288.80004882812</v>
      </c>
      <c r="E208" s="2">
        <v>76.465904235839801</v>
      </c>
      <c r="F208" s="2">
        <v>435.5</v>
      </c>
      <c r="G208" s="2">
        <v>2060.69995117187</v>
      </c>
      <c r="H208" s="2">
        <v>23.9899997711181</v>
      </c>
      <c r="I208" s="2">
        <v>3442.89990234375</v>
      </c>
      <c r="J208" s="2">
        <v>75.139999389648395</v>
      </c>
      <c r="K208" s="2">
        <v>209.850006103515</v>
      </c>
      <c r="L208" s="2">
        <v>147.07000732421801</v>
      </c>
      <c r="M208" s="2">
        <v>6438.9501953125</v>
      </c>
      <c r="N208" s="2">
        <v>919.70001220703102</v>
      </c>
      <c r="O208" s="2">
        <v>73.629997253417898</v>
      </c>
      <c r="P208" s="2">
        <v>104.074996948242</v>
      </c>
      <c r="Q208" s="2">
        <v>183.44999694824199</v>
      </c>
      <c r="R208" s="2">
        <v>242.69000244140599</v>
      </c>
      <c r="S208" s="2">
        <v>19.149999618530199</v>
      </c>
      <c r="T208" s="2">
        <v>434.32501220703102</v>
      </c>
      <c r="U208" s="2">
        <v>67.580001831054602</v>
      </c>
      <c r="V208" s="2">
        <v>813.40002441406205</v>
      </c>
      <c r="W208" s="2">
        <v>378.89999389648398</v>
      </c>
      <c r="X208" s="2">
        <v>470.95001220703102</v>
      </c>
      <c r="Y208" s="2">
        <v>1770.59997558593</v>
      </c>
      <c r="Z208" s="2">
        <v>2217.14990234375</v>
      </c>
      <c r="AA208" s="2">
        <v>1576.94995117187</v>
      </c>
      <c r="AB208" s="2">
        <v>460.350006103515</v>
      </c>
      <c r="AC208" s="2">
        <v>152.100006103515</v>
      </c>
      <c r="AD208" s="2">
        <v>111.050003051757</v>
      </c>
      <c r="AE208" s="2">
        <v>748.29998779296795</v>
      </c>
      <c r="AG208" s="2">
        <v>18255.80078125</v>
      </c>
      <c r="AH208" s="2">
        <v>61749.25</v>
      </c>
      <c r="AI208" s="2">
        <v>29283.869140625</v>
      </c>
    </row>
    <row r="209" spans="1:35" x14ac:dyDescent="0.3">
      <c r="A209" s="1">
        <v>45051</v>
      </c>
      <c r="B209" s="2">
        <v>63.439998626708899</v>
      </c>
      <c r="C209" s="2">
        <v>1189.65002441406</v>
      </c>
      <c r="D209" s="2">
        <v>2216.85009765625</v>
      </c>
      <c r="E209" s="2">
        <v>75.832572937011705</v>
      </c>
      <c r="F209" s="2">
        <v>456.95001220703102</v>
      </c>
      <c r="G209" s="2">
        <v>2073.69995117187</v>
      </c>
      <c r="H209" s="2">
        <v>23.809999465942301</v>
      </c>
      <c r="I209" s="2">
        <v>3440.44995117187</v>
      </c>
      <c r="J209" s="2">
        <v>73.349998474121094</v>
      </c>
      <c r="K209" s="2">
        <v>206.19999694824199</v>
      </c>
      <c r="L209" s="2">
        <v>151.30000305175699</v>
      </c>
      <c r="M209" s="2">
        <v>6352.60009765625</v>
      </c>
      <c r="N209" s="2">
        <v>898.79998779296795</v>
      </c>
      <c r="O209" s="2">
        <v>73.919998168945298</v>
      </c>
      <c r="P209" s="2">
        <v>102.525001525878</v>
      </c>
      <c r="Q209" s="2">
        <v>181.350006103515</v>
      </c>
      <c r="R209" s="2">
        <v>238.57000732421801</v>
      </c>
      <c r="S209" s="2">
        <v>18.959999084472599</v>
      </c>
      <c r="T209" s="2">
        <v>430.17498779296801</v>
      </c>
      <c r="U209" s="2">
        <v>67.565002441406193</v>
      </c>
      <c r="V209" s="2">
        <v>809.95001220703102</v>
      </c>
      <c r="W209" s="2">
        <v>378.20001220703102</v>
      </c>
      <c r="X209" s="2">
        <v>474.45001220703102</v>
      </c>
      <c r="Y209" s="2">
        <v>1736.44995117187</v>
      </c>
      <c r="Z209" s="2">
        <v>2218.14990234375</v>
      </c>
      <c r="AA209" s="2">
        <v>1598.5</v>
      </c>
      <c r="AB209" s="2">
        <v>453</v>
      </c>
      <c r="AC209" s="2">
        <v>163.19999694824199</v>
      </c>
      <c r="AD209" s="2">
        <v>108.650001525878</v>
      </c>
      <c r="AE209" s="2">
        <v>776.75</v>
      </c>
      <c r="AG209" s="2">
        <v>18069</v>
      </c>
      <c r="AH209" s="2">
        <v>61054.2890625</v>
      </c>
      <c r="AI209" s="2">
        <v>29448.3203125</v>
      </c>
    </row>
    <row r="210" spans="1:35" x14ac:dyDescent="0.3">
      <c r="A210" s="1">
        <v>45054</v>
      </c>
      <c r="B210" s="2">
        <v>63.770000457763601</v>
      </c>
      <c r="C210" s="2">
        <v>1186.5</v>
      </c>
      <c r="D210" s="2">
        <v>2357.35009765625</v>
      </c>
      <c r="E210" s="2">
        <v>79.499206542968693</v>
      </c>
      <c r="F210" s="2">
        <v>455</v>
      </c>
      <c r="G210" s="2">
        <v>2055.35009765625</v>
      </c>
      <c r="H210" s="2">
        <v>23.895000457763601</v>
      </c>
      <c r="I210" s="2">
        <v>3500.64990234375</v>
      </c>
      <c r="J210" s="2">
        <v>72.819999694824205</v>
      </c>
      <c r="K210" s="2">
        <v>210</v>
      </c>
      <c r="L210" s="2">
        <v>154.74000549316401</v>
      </c>
      <c r="M210" s="2">
        <v>6386.35009765625</v>
      </c>
      <c r="N210" s="2">
        <v>918.20001220703102</v>
      </c>
      <c r="O210" s="2">
        <v>74.660003662109304</v>
      </c>
      <c r="P210" s="2">
        <v>105.875</v>
      </c>
      <c r="Q210" s="2">
        <v>181.19999694824199</v>
      </c>
      <c r="R210" s="2">
        <v>240.88999938964801</v>
      </c>
      <c r="S210" s="2">
        <v>18.879999160766602</v>
      </c>
      <c r="T210" s="2">
        <v>435.100006103515</v>
      </c>
      <c r="U210" s="2">
        <v>69.815002441406193</v>
      </c>
      <c r="V210" s="2">
        <v>805.75</v>
      </c>
      <c r="W210" s="2">
        <v>374.45001220703102</v>
      </c>
      <c r="X210" s="2">
        <v>477.350006103515</v>
      </c>
      <c r="Y210" s="2">
        <v>1802.5</v>
      </c>
      <c r="Z210" s="2">
        <v>2196.35009765625</v>
      </c>
      <c r="AA210" s="2">
        <v>1607.05004882812</v>
      </c>
      <c r="AB210" s="2">
        <v>455.04998779296801</v>
      </c>
      <c r="AC210" s="2">
        <v>166.75</v>
      </c>
      <c r="AD210" s="2">
        <v>109.550003051757</v>
      </c>
      <c r="AE210" s="2">
        <v>782.70001220703102</v>
      </c>
      <c r="AG210" s="2">
        <v>18264.400390625</v>
      </c>
      <c r="AH210" s="2">
        <v>61764.25</v>
      </c>
      <c r="AI210" s="2">
        <v>29344.41015625</v>
      </c>
    </row>
    <row r="211" spans="1:35" x14ac:dyDescent="0.3">
      <c r="A211" s="1">
        <v>45055</v>
      </c>
      <c r="B211" s="2">
        <v>63.930000305175703</v>
      </c>
      <c r="C211" s="2">
        <v>1183.75</v>
      </c>
      <c r="D211" s="2">
        <v>2369.39990234375</v>
      </c>
      <c r="E211" s="2">
        <v>79.865867614746094</v>
      </c>
      <c r="F211" s="2">
        <v>458.25</v>
      </c>
      <c r="G211" s="2">
        <v>2110.55004882812</v>
      </c>
      <c r="H211" s="2">
        <v>23.829999923706001</v>
      </c>
      <c r="I211" s="2">
        <v>3531.39990234375</v>
      </c>
      <c r="J211" s="2">
        <v>73.440002441406193</v>
      </c>
      <c r="K211" s="2">
        <v>210.94999694824199</v>
      </c>
      <c r="L211" s="2">
        <v>159.72000122070301</v>
      </c>
      <c r="M211" s="2">
        <v>6402.7998046875</v>
      </c>
      <c r="N211" s="2">
        <v>931.40002441406205</v>
      </c>
      <c r="O211" s="2">
        <v>74.139999389648395</v>
      </c>
      <c r="P211" s="2">
        <v>105.025001525878</v>
      </c>
      <c r="Q211" s="2">
        <v>179.25</v>
      </c>
      <c r="R211" s="2">
        <v>242.55999755859301</v>
      </c>
      <c r="S211" s="2">
        <v>18.9300003051757</v>
      </c>
      <c r="T211" s="2">
        <v>423.54998779296801</v>
      </c>
      <c r="U211" s="2">
        <v>70.014999389648395</v>
      </c>
      <c r="V211" s="2">
        <v>806</v>
      </c>
      <c r="W211" s="2">
        <v>376.70001220703102</v>
      </c>
      <c r="X211" s="2">
        <v>474</v>
      </c>
      <c r="Y211" s="2">
        <v>1790.55004882812</v>
      </c>
      <c r="Z211" s="2">
        <v>2160.44995117187</v>
      </c>
      <c r="AA211" s="2">
        <v>1630.75</v>
      </c>
      <c r="AB211" s="2">
        <v>460.89999389648398</v>
      </c>
      <c r="AC211" s="2">
        <v>162.80000305175699</v>
      </c>
      <c r="AD211" s="2">
        <v>109.550003051757</v>
      </c>
      <c r="AE211" s="2">
        <v>802.45001220703102</v>
      </c>
      <c r="AG211" s="2">
        <v>18265.94921875</v>
      </c>
      <c r="AH211" s="2">
        <v>61761.328125</v>
      </c>
      <c r="AI211" s="2">
        <v>29440.080078125</v>
      </c>
    </row>
    <row r="212" spans="1:35" x14ac:dyDescent="0.3">
      <c r="A212" s="1">
        <v>45056</v>
      </c>
      <c r="B212" s="2">
        <v>63.400001525878899</v>
      </c>
      <c r="C212" s="2">
        <v>1182.09997558593</v>
      </c>
      <c r="D212" s="2">
        <v>2354.30004882812</v>
      </c>
      <c r="E212" s="2">
        <v>81.232521057128906</v>
      </c>
      <c r="F212" s="2">
        <v>459.350006103515</v>
      </c>
      <c r="G212" s="2">
        <v>2087.69995117187</v>
      </c>
      <c r="H212" s="2">
        <v>23.524999618530199</v>
      </c>
      <c r="I212" s="2">
        <v>3606.89990234375</v>
      </c>
      <c r="J212" s="2">
        <v>74.5</v>
      </c>
      <c r="K212" s="2">
        <v>210.39999389648401</v>
      </c>
      <c r="L212" s="2">
        <v>162.67999267578099</v>
      </c>
      <c r="M212" s="2">
        <v>6435.89990234375</v>
      </c>
      <c r="N212" s="2">
        <v>950.34997558593705</v>
      </c>
      <c r="O212" s="2">
        <v>73.059997558593693</v>
      </c>
      <c r="P212" s="2">
        <v>104.925003051757</v>
      </c>
      <c r="Q212" s="2">
        <v>179.39999389648401</v>
      </c>
      <c r="R212" s="2">
        <v>244.850006103515</v>
      </c>
      <c r="S212" s="2">
        <v>18.809999465942301</v>
      </c>
      <c r="T212" s="2">
        <v>425.5</v>
      </c>
      <c r="U212" s="2">
        <v>69.830001831054602</v>
      </c>
      <c r="V212" s="2">
        <v>805.70001220703102</v>
      </c>
      <c r="W212" s="2">
        <v>373.29998779296801</v>
      </c>
      <c r="X212" s="2">
        <v>474.75</v>
      </c>
      <c r="Y212" s="2">
        <v>1794.69995117187</v>
      </c>
      <c r="Z212" s="2">
        <v>2141.80004882812</v>
      </c>
      <c r="AA212" s="2">
        <v>1622.59997558593</v>
      </c>
      <c r="AB212" s="2">
        <v>459.64999389648398</v>
      </c>
      <c r="AC212" s="2">
        <v>166</v>
      </c>
      <c r="AD212" s="2">
        <v>109.25</v>
      </c>
      <c r="AE212" s="2">
        <v>778.54998779296795</v>
      </c>
      <c r="AG212" s="2">
        <v>18315.099609375</v>
      </c>
      <c r="AH212" s="2">
        <v>61940.19921875</v>
      </c>
      <c r="AI212" s="2">
        <v>29641.5703125</v>
      </c>
    </row>
    <row r="213" spans="1:35" x14ac:dyDescent="0.3">
      <c r="A213" s="1">
        <v>45057</v>
      </c>
      <c r="B213" s="2">
        <v>64.029998779296804</v>
      </c>
      <c r="C213" s="2">
        <v>1182.30004882812</v>
      </c>
      <c r="D213" s="2">
        <v>2382.55004882812</v>
      </c>
      <c r="E213" s="2">
        <v>82.265846252441406</v>
      </c>
      <c r="F213" s="2">
        <v>455</v>
      </c>
      <c r="G213" s="2">
        <v>2089.05004882812</v>
      </c>
      <c r="H213" s="2">
        <v>23.444999694824201</v>
      </c>
      <c r="I213" s="2">
        <v>3609.39990234375</v>
      </c>
      <c r="J213" s="2">
        <v>74.019996643066406</v>
      </c>
      <c r="K213" s="2">
        <v>210.05000305175699</v>
      </c>
      <c r="L213" s="2">
        <v>159.61999511718699</v>
      </c>
      <c r="M213" s="2">
        <v>6398.75</v>
      </c>
      <c r="N213" s="2">
        <v>960.59997558593705</v>
      </c>
      <c r="O213" s="2">
        <v>73.970001220703097</v>
      </c>
      <c r="P213" s="2">
        <v>107.199996948242</v>
      </c>
      <c r="Q213" s="2">
        <v>182.850006103515</v>
      </c>
      <c r="R213" s="2">
        <v>242.47999572753901</v>
      </c>
      <c r="S213" s="2">
        <v>19.059999465942301</v>
      </c>
      <c r="T213" s="2">
        <v>430.82501220703102</v>
      </c>
      <c r="U213" s="2">
        <v>70.279998779296804</v>
      </c>
      <c r="V213" s="2">
        <v>805.04998779296795</v>
      </c>
      <c r="W213" s="2">
        <v>372.79998779296801</v>
      </c>
      <c r="X213" s="2">
        <v>473.75</v>
      </c>
      <c r="Y213" s="2">
        <v>1793.65002441406</v>
      </c>
      <c r="Z213" s="2">
        <v>2091.05004882812</v>
      </c>
      <c r="AA213" s="2">
        <v>1609.69995117187</v>
      </c>
      <c r="AB213" s="2">
        <v>458.600006103515</v>
      </c>
      <c r="AC213" s="2">
        <v>165.850006103515</v>
      </c>
      <c r="AD213" s="2">
        <v>108.550003051757</v>
      </c>
      <c r="AE213" s="2">
        <v>799.15002441406205</v>
      </c>
      <c r="AG213" s="2">
        <v>18297</v>
      </c>
      <c r="AH213" s="2">
        <v>61904.51953125</v>
      </c>
      <c r="AI213" s="2">
        <v>29616.609375</v>
      </c>
    </row>
    <row r="214" spans="1:35" x14ac:dyDescent="0.3">
      <c r="A214" s="1">
        <v>45058</v>
      </c>
      <c r="B214" s="2">
        <v>63.619998931884702</v>
      </c>
      <c r="C214" s="2">
        <v>1179.25</v>
      </c>
      <c r="D214" s="2">
        <v>2370.85009765625</v>
      </c>
      <c r="E214" s="2">
        <v>81.499183654785099</v>
      </c>
      <c r="F214" s="2">
        <v>444.600006103515</v>
      </c>
      <c r="G214" s="2">
        <v>2057.5</v>
      </c>
      <c r="H214" s="2">
        <v>23.215000152587798</v>
      </c>
      <c r="I214" s="2">
        <v>3581.85009765625</v>
      </c>
      <c r="J214" s="2">
        <v>73.639999389648395</v>
      </c>
      <c r="K214" s="2">
        <v>209.350006103515</v>
      </c>
      <c r="L214" s="2">
        <v>158.57000732421801</v>
      </c>
      <c r="M214" s="2">
        <v>6445.14990234375</v>
      </c>
      <c r="N214" s="2">
        <v>960.25</v>
      </c>
      <c r="O214" s="2">
        <v>74.029998779296804</v>
      </c>
      <c r="P214" s="2">
        <v>106.300003051757</v>
      </c>
      <c r="Q214" s="2">
        <v>180.39999389648401</v>
      </c>
      <c r="R214" s="2">
        <v>243.30999755859301</v>
      </c>
      <c r="S214" s="2">
        <v>18.860000610351499</v>
      </c>
      <c r="T214" s="2">
        <v>437.600006103515</v>
      </c>
      <c r="U214" s="2">
        <v>68.580001831054602</v>
      </c>
      <c r="V214" s="2">
        <v>809.29998779296795</v>
      </c>
      <c r="W214" s="2">
        <v>374.79998779296801</v>
      </c>
      <c r="X214" s="2">
        <v>472.89999389648398</v>
      </c>
      <c r="Y214" s="2">
        <v>1813.40002441406</v>
      </c>
      <c r="Z214" s="2">
        <v>2157.44995117187</v>
      </c>
      <c r="AA214" s="2">
        <v>1690.15002441406</v>
      </c>
      <c r="AB214" s="2">
        <v>466</v>
      </c>
      <c r="AC214" s="2">
        <v>165.80000305175699</v>
      </c>
      <c r="AD214" s="2">
        <v>106.75</v>
      </c>
      <c r="AE214" s="2">
        <v>782.84997558593705</v>
      </c>
      <c r="AG214" s="2">
        <v>18314.80078125</v>
      </c>
      <c r="AH214" s="2">
        <v>62027.8984375</v>
      </c>
      <c r="AI214" s="2">
        <v>29761.83984375</v>
      </c>
    </row>
    <row r="215" spans="1:35" x14ac:dyDescent="0.3">
      <c r="A215" s="1">
        <v>45061</v>
      </c>
      <c r="B215" s="2">
        <v>62.900001525878899</v>
      </c>
      <c r="C215" s="2">
        <v>1150.94995117187</v>
      </c>
      <c r="D215" s="2">
        <v>2389.5</v>
      </c>
      <c r="E215" s="2">
        <v>81.732513427734304</v>
      </c>
      <c r="F215" s="2">
        <v>436.14999389648398</v>
      </c>
      <c r="G215" s="2">
        <v>2066.35009765625</v>
      </c>
      <c r="H215" s="2">
        <v>22.875</v>
      </c>
      <c r="I215" s="2">
        <v>3636.94995117187</v>
      </c>
      <c r="J215" s="2">
        <v>73.529998779296804</v>
      </c>
      <c r="K215" s="2">
        <v>211.850006103515</v>
      </c>
      <c r="L215" s="2">
        <v>156.850006103515</v>
      </c>
      <c r="M215" s="2">
        <v>6411.85009765625</v>
      </c>
      <c r="N215" s="2">
        <v>969.75</v>
      </c>
      <c r="O215" s="2">
        <v>73.120002746582003</v>
      </c>
      <c r="P215" s="2">
        <v>103.59999847412099</v>
      </c>
      <c r="Q215" s="2">
        <v>178.600006103515</v>
      </c>
      <c r="R215" s="2">
        <v>243.88999938964801</v>
      </c>
      <c r="S215" s="2">
        <v>18.659999847412099</v>
      </c>
      <c r="T215" s="2">
        <v>441.625</v>
      </c>
      <c r="U215" s="2">
        <v>69.629997253417898</v>
      </c>
      <c r="V215" s="2">
        <v>804.65002441406205</v>
      </c>
      <c r="W215" s="2">
        <v>372.39999389648398</v>
      </c>
      <c r="X215" s="2">
        <v>473.39999389648398</v>
      </c>
      <c r="Y215" s="2">
        <v>1810.65002441406</v>
      </c>
      <c r="Z215" s="2">
        <v>2141.85009765625</v>
      </c>
      <c r="AA215" s="2">
        <v>1774.65002441406</v>
      </c>
      <c r="AB215" s="2">
        <v>466.850006103515</v>
      </c>
      <c r="AC215" s="2">
        <v>170.05000305175699</v>
      </c>
      <c r="AD215" s="2">
        <v>107.699996948242</v>
      </c>
      <c r="AE215" s="2">
        <v>793.29998779296795</v>
      </c>
      <c r="AG215" s="2">
        <v>18398.849609375</v>
      </c>
      <c r="AH215" s="2">
        <v>62345.7109375</v>
      </c>
      <c r="AI215" s="2">
        <v>29798.939453125</v>
      </c>
    </row>
    <row r="216" spans="1:35" x14ac:dyDescent="0.3">
      <c r="A216" s="1">
        <v>45062</v>
      </c>
      <c r="B216" s="2">
        <v>63.330001831054602</v>
      </c>
      <c r="C216" s="2">
        <v>1152.40002441406</v>
      </c>
      <c r="D216" s="2">
        <v>2412.35009765625</v>
      </c>
      <c r="E216" s="2">
        <v>82.565841674804602</v>
      </c>
      <c r="F216" s="2">
        <v>431.100006103515</v>
      </c>
      <c r="G216" s="2">
        <v>2078.69995117187</v>
      </c>
      <c r="H216" s="2">
        <v>23.1049995422363</v>
      </c>
      <c r="I216" s="2">
        <v>3618.80004882812</v>
      </c>
      <c r="J216" s="2">
        <v>74.040000915527301</v>
      </c>
      <c r="K216" s="2">
        <v>207.30000305175699</v>
      </c>
      <c r="L216" s="2">
        <v>160.97000122070301</v>
      </c>
      <c r="M216" s="2">
        <v>6418.10009765625</v>
      </c>
      <c r="N216" s="2">
        <v>977.04998779296795</v>
      </c>
      <c r="O216" s="2">
        <v>72.720001220703097</v>
      </c>
      <c r="P216" s="2">
        <v>102</v>
      </c>
      <c r="Q216" s="2">
        <v>175.80000305175699</v>
      </c>
      <c r="R216" s="2">
        <v>242.88000488281199</v>
      </c>
      <c r="S216" s="2">
        <v>18.579999923706001</v>
      </c>
      <c r="T216" s="2">
        <v>476.82501220703102</v>
      </c>
      <c r="U216" s="2">
        <v>70.010002136230398</v>
      </c>
      <c r="V216" s="2">
        <v>814.34997558593705</v>
      </c>
      <c r="W216" s="2">
        <v>368.20001220703102</v>
      </c>
      <c r="X216" s="2">
        <v>475.64999389648398</v>
      </c>
      <c r="Y216" s="2">
        <v>1803.90002441406</v>
      </c>
      <c r="Z216" s="2">
        <v>2129.85009765625</v>
      </c>
      <c r="AA216" s="2">
        <v>1863.34997558593</v>
      </c>
      <c r="AB216" s="2">
        <v>460.95001220703102</v>
      </c>
      <c r="AC216" s="2">
        <v>169.850006103515</v>
      </c>
      <c r="AD216" s="2">
        <v>107.400001525878</v>
      </c>
      <c r="AE216" s="2">
        <v>787.15002441406205</v>
      </c>
      <c r="AG216" s="2">
        <v>18286.5</v>
      </c>
      <c r="AH216" s="2">
        <v>61932.46875</v>
      </c>
      <c r="AI216" s="2">
        <v>29874.470703125</v>
      </c>
    </row>
    <row r="217" spans="1:35" x14ac:dyDescent="0.3">
      <c r="A217" s="1">
        <v>45063</v>
      </c>
      <c r="B217" s="2">
        <v>63.569999694824197</v>
      </c>
      <c r="C217" s="2">
        <v>1153.34997558593</v>
      </c>
      <c r="D217" s="2">
        <v>2366.60009765625</v>
      </c>
      <c r="E217" s="2">
        <v>86.832466125488196</v>
      </c>
      <c r="F217" s="2">
        <v>449.20001220703102</v>
      </c>
      <c r="G217" s="2">
        <v>2071.10009765625</v>
      </c>
      <c r="H217" s="2">
        <v>23.139999389648398</v>
      </c>
      <c r="I217" s="2">
        <v>3647</v>
      </c>
      <c r="J217" s="2">
        <v>75.449996948242102</v>
      </c>
      <c r="K217" s="2">
        <v>208.89999389648401</v>
      </c>
      <c r="L217" s="2">
        <v>160.97999572753901</v>
      </c>
      <c r="M217" s="2">
        <v>6414.25</v>
      </c>
      <c r="N217" s="2">
        <v>941.65002441406205</v>
      </c>
      <c r="O217" s="2">
        <v>73.209999084472599</v>
      </c>
      <c r="P217" s="2">
        <v>100.925003051757</v>
      </c>
      <c r="Q217" s="2">
        <v>172.850006103515</v>
      </c>
      <c r="R217" s="2">
        <v>245.96000671386699</v>
      </c>
      <c r="S217" s="2">
        <v>18.690000534057599</v>
      </c>
      <c r="T217" s="2">
        <v>479.100006103515</v>
      </c>
      <c r="U217" s="2">
        <v>68.745002746582003</v>
      </c>
      <c r="V217" s="2">
        <v>816.59997558593705</v>
      </c>
      <c r="W217" s="2">
        <v>369</v>
      </c>
      <c r="X217" s="2">
        <v>474.100006103515</v>
      </c>
      <c r="Y217" s="2">
        <v>1790.25</v>
      </c>
      <c r="Z217" s="2">
        <v>2120.05004882812</v>
      </c>
      <c r="AA217" s="2">
        <v>1893.69995117187</v>
      </c>
      <c r="AB217" s="2">
        <v>462.75</v>
      </c>
      <c r="AC217" s="2">
        <v>169.80000305175699</v>
      </c>
      <c r="AD217" s="2">
        <v>106</v>
      </c>
      <c r="AE217" s="2">
        <v>774.09997558593705</v>
      </c>
      <c r="AG217" s="2">
        <v>18181.75</v>
      </c>
      <c r="AH217" s="2">
        <v>61560.640625</v>
      </c>
      <c r="AI217" s="2">
        <v>29796.330078125</v>
      </c>
    </row>
    <row r="218" spans="1:35" x14ac:dyDescent="0.3">
      <c r="A218" s="1">
        <v>45065</v>
      </c>
      <c r="B218" s="2">
        <v>63.200000762939403</v>
      </c>
      <c r="C218" s="2">
        <v>1093.65002441406</v>
      </c>
      <c r="D218" s="2">
        <v>2306.10009765625</v>
      </c>
      <c r="E218" s="2">
        <v>87.332458496093693</v>
      </c>
      <c r="F218" s="2">
        <v>467.04998779296801</v>
      </c>
      <c r="G218" s="2">
        <v>2081.30004882812</v>
      </c>
      <c r="H218" s="2">
        <v>23.049999237060501</v>
      </c>
      <c r="I218" s="2">
        <v>3574.10009765625</v>
      </c>
      <c r="J218" s="2">
        <v>77.650001525878906</v>
      </c>
      <c r="K218" s="2">
        <v>203.39999389648401</v>
      </c>
      <c r="L218" s="2">
        <v>158.61999511718699</v>
      </c>
      <c r="M218" s="2">
        <v>6364.2998046875</v>
      </c>
      <c r="N218" s="2">
        <v>921.15002441406205</v>
      </c>
      <c r="O218" s="2">
        <v>71.959999084472599</v>
      </c>
      <c r="P218" s="2">
        <v>100.47499847412099</v>
      </c>
      <c r="Q218" s="2">
        <v>177.600006103515</v>
      </c>
      <c r="R218" s="2">
        <v>246.49000549316401</v>
      </c>
      <c r="S218" s="2">
        <v>18.2199993133544</v>
      </c>
      <c r="T218" s="2">
        <v>462.42498779296801</v>
      </c>
      <c r="U218" s="2">
        <v>69.290000915527301</v>
      </c>
      <c r="V218" s="2">
        <v>860.90002441406205</v>
      </c>
      <c r="W218" s="2">
        <v>365.04998779296801</v>
      </c>
      <c r="X218" s="2">
        <v>473.89999389648398</v>
      </c>
      <c r="Y218" s="2">
        <v>1805.34997558593</v>
      </c>
      <c r="Z218" s="2">
        <v>2106.60009765625</v>
      </c>
      <c r="AA218" s="2">
        <v>1899.59997558593</v>
      </c>
      <c r="AB218" s="2">
        <v>466.20001220703102</v>
      </c>
      <c r="AC218" s="2">
        <v>165.05000305175699</v>
      </c>
      <c r="AD218" s="2">
        <v>105.199996948242</v>
      </c>
      <c r="AE218" s="2">
        <v>771.84997558593705</v>
      </c>
      <c r="AG218" s="2">
        <v>18129.94921875</v>
      </c>
      <c r="AH218" s="2">
        <v>61431.73828125</v>
      </c>
      <c r="AI218" s="2">
        <v>29748.140625</v>
      </c>
    </row>
    <row r="219" spans="1:35" x14ac:dyDescent="0.3">
      <c r="A219" s="1">
        <v>45068</v>
      </c>
      <c r="B219" s="2">
        <v>61.669998168945298</v>
      </c>
      <c r="C219" s="2">
        <v>1102.59997558593</v>
      </c>
      <c r="D219" s="2">
        <v>2162.30004882812</v>
      </c>
      <c r="E219" s="2">
        <v>90.732421875</v>
      </c>
      <c r="F219" s="2">
        <v>440.70001220703102</v>
      </c>
      <c r="G219" s="2">
        <v>2136.25</v>
      </c>
      <c r="H219" s="2">
        <v>22.985000610351499</v>
      </c>
      <c r="I219" s="2">
        <v>3569.10009765625</v>
      </c>
      <c r="J219" s="2">
        <v>76.849998474121094</v>
      </c>
      <c r="K219" s="2">
        <v>207.05000305175699</v>
      </c>
      <c r="L219" s="2">
        <v>158.91000366210901</v>
      </c>
      <c r="M219" s="2">
        <v>6395.14990234375</v>
      </c>
      <c r="N219" s="2">
        <v>933.20001220703102</v>
      </c>
      <c r="O219" s="2">
        <v>71.480003356933594</v>
      </c>
      <c r="P219" s="2">
        <v>104.525001525878</v>
      </c>
      <c r="Q219" s="2">
        <v>186.44999694824199</v>
      </c>
      <c r="R219" s="2">
        <v>246.36000061035099</v>
      </c>
      <c r="S219" s="2">
        <v>17.639999389648398</v>
      </c>
      <c r="T219" s="2">
        <v>461.475006103515</v>
      </c>
      <c r="U219" s="2">
        <v>69.319999694824205</v>
      </c>
      <c r="V219" s="2">
        <v>860.59997558593705</v>
      </c>
      <c r="W219" s="2">
        <v>359.5</v>
      </c>
      <c r="X219" s="2">
        <v>476.04998779296801</v>
      </c>
      <c r="Y219" s="2">
        <v>1805.05004882812</v>
      </c>
      <c r="Z219" s="2">
        <v>2106.5</v>
      </c>
      <c r="AA219" s="2">
        <v>1855.80004882812</v>
      </c>
      <c r="AB219" s="2">
        <v>460.5</v>
      </c>
      <c r="AC219" s="2">
        <v>167.600006103515</v>
      </c>
      <c r="AD219" s="2">
        <v>104.650001525878</v>
      </c>
      <c r="AE219" s="2">
        <v>756.45001220703102</v>
      </c>
      <c r="AG219" s="2">
        <v>18203.400390625</v>
      </c>
      <c r="AH219" s="2">
        <v>61729.6796875</v>
      </c>
      <c r="AI219" s="2">
        <v>29868.970703125</v>
      </c>
    </row>
    <row r="220" spans="1:35" x14ac:dyDescent="0.3">
      <c r="A220" s="1">
        <v>45069</v>
      </c>
      <c r="B220" s="2">
        <v>61.5</v>
      </c>
      <c r="C220" s="2">
        <v>1153.44995117187</v>
      </c>
      <c r="D220" s="2">
        <v>2208.5</v>
      </c>
      <c r="E220" s="2">
        <v>93.365730285644503</v>
      </c>
      <c r="F220" s="2">
        <v>448.100006103515</v>
      </c>
      <c r="G220" s="2">
        <v>2190.25</v>
      </c>
      <c r="H220" s="2">
        <v>22.9699993133544</v>
      </c>
      <c r="I220" s="2">
        <v>3583.89990234375</v>
      </c>
      <c r="J220" s="2">
        <v>73.569999694824205</v>
      </c>
      <c r="K220" s="2">
        <v>204.100006103515</v>
      </c>
      <c r="L220" s="2">
        <v>157.89999389648401</v>
      </c>
      <c r="M220" s="2">
        <v>6376.64990234375</v>
      </c>
      <c r="N220" s="2">
        <v>927.09997558593705</v>
      </c>
      <c r="O220" s="2">
        <v>72.870002746582003</v>
      </c>
      <c r="P220" s="2">
        <v>109.574996948242</v>
      </c>
      <c r="Q220" s="2">
        <v>195.75</v>
      </c>
      <c r="R220" s="2">
        <v>258.79000854492102</v>
      </c>
      <c r="S220" s="2">
        <v>17.350000381469702</v>
      </c>
      <c r="T220" s="2">
        <v>466.225006103515</v>
      </c>
      <c r="U220" s="2">
        <v>68.269996643066406</v>
      </c>
      <c r="V220" s="2">
        <v>863.09997558593705</v>
      </c>
      <c r="W220" s="2">
        <v>361.20001220703102</v>
      </c>
      <c r="X220" s="2">
        <v>474.350006103515</v>
      </c>
      <c r="Y220" s="2">
        <v>1794</v>
      </c>
      <c r="Z220" s="2">
        <v>2075.10009765625</v>
      </c>
      <c r="AA220" s="2">
        <v>1773.69995117187</v>
      </c>
      <c r="AB220" s="2">
        <v>469.95001220703102</v>
      </c>
      <c r="AC220" s="2">
        <v>166.94999694824199</v>
      </c>
      <c r="AD220" s="2">
        <v>105</v>
      </c>
      <c r="AE220" s="2">
        <v>759.84997558593705</v>
      </c>
      <c r="AG220" s="2">
        <v>18314.400390625</v>
      </c>
      <c r="AH220" s="2">
        <v>61963.6796875</v>
      </c>
      <c r="AI220" s="2">
        <v>29903.150390625</v>
      </c>
    </row>
    <row r="221" spans="1:35" x14ac:dyDescent="0.3">
      <c r="A221" s="1">
        <v>45070</v>
      </c>
      <c r="B221" s="2">
        <v>60.689998626708899</v>
      </c>
      <c r="C221" s="2">
        <v>1152.75</v>
      </c>
      <c r="D221" s="2">
        <v>2162</v>
      </c>
      <c r="E221" s="2">
        <v>94.232391357421804</v>
      </c>
      <c r="F221" s="2">
        <v>427.14999389648398</v>
      </c>
      <c r="G221" s="2">
        <v>2170.60009765625</v>
      </c>
      <c r="H221" s="2">
        <v>23.465000152587798</v>
      </c>
      <c r="I221" s="2">
        <v>3534.60009765625</v>
      </c>
      <c r="J221" s="2">
        <v>72.720001220703097</v>
      </c>
      <c r="K221" s="2">
        <v>202.600006103515</v>
      </c>
      <c r="L221" s="2">
        <v>156.86000061035099</v>
      </c>
      <c r="M221" s="2">
        <v>6391.39990234375</v>
      </c>
      <c r="N221" s="2">
        <v>1001</v>
      </c>
      <c r="O221" s="2">
        <v>72.230003356933594</v>
      </c>
      <c r="P221" s="2">
        <v>110.375</v>
      </c>
      <c r="Q221" s="2">
        <v>205.5</v>
      </c>
      <c r="R221" s="2">
        <v>260.27999877929602</v>
      </c>
      <c r="S221" s="2">
        <v>17.610000610351499</v>
      </c>
      <c r="T221" s="2">
        <v>462.27499389648398</v>
      </c>
      <c r="U221" s="2">
        <v>68.180000305175696</v>
      </c>
      <c r="V221" s="2">
        <v>874.25</v>
      </c>
      <c r="W221" s="2">
        <v>360.350006103515</v>
      </c>
      <c r="X221" s="2">
        <v>471.75</v>
      </c>
      <c r="Y221" s="2">
        <v>1794.44995117187</v>
      </c>
      <c r="Z221" s="2">
        <v>2250.25</v>
      </c>
      <c r="AA221" s="2">
        <v>1828.05004882812</v>
      </c>
      <c r="AB221" s="2">
        <v>461.45001220703102</v>
      </c>
      <c r="AC221" s="2">
        <v>168.19999694824199</v>
      </c>
      <c r="AD221" s="2">
        <v>105.59999847412099</v>
      </c>
      <c r="AE221" s="2">
        <v>765.20001220703102</v>
      </c>
      <c r="AG221" s="2">
        <v>18348</v>
      </c>
      <c r="AH221" s="2">
        <v>61981.7890625</v>
      </c>
      <c r="AI221" s="2">
        <v>29934.220703125</v>
      </c>
    </row>
    <row r="222" spans="1:35" x14ac:dyDescent="0.3">
      <c r="A222" s="1">
        <v>45071</v>
      </c>
      <c r="B222" s="2">
        <v>60.380001068115199</v>
      </c>
      <c r="C222" s="2">
        <v>1148.19995117187</v>
      </c>
      <c r="D222" s="2">
        <v>2155.80004882812</v>
      </c>
      <c r="E222" s="2">
        <v>93.632392883300696</v>
      </c>
      <c r="F222" s="2">
        <v>433.14999389648398</v>
      </c>
      <c r="G222" s="2">
        <v>2145.80004882812</v>
      </c>
      <c r="H222" s="2">
        <v>23.520000457763601</v>
      </c>
      <c r="I222" s="2">
        <v>3652</v>
      </c>
      <c r="J222" s="2">
        <v>71.559997558593693</v>
      </c>
      <c r="K222" s="2">
        <v>205.30000305175699</v>
      </c>
      <c r="L222" s="2">
        <v>149.100006103515</v>
      </c>
      <c r="M222" s="2">
        <v>6385.89990234375</v>
      </c>
      <c r="N222" s="2">
        <v>1016.65002441406</v>
      </c>
      <c r="O222" s="2">
        <v>71.870002746582003</v>
      </c>
      <c r="P222" s="2">
        <v>106.125</v>
      </c>
      <c r="Q222" s="2">
        <v>215.75</v>
      </c>
      <c r="R222" s="2">
        <v>255.96000671386699</v>
      </c>
      <c r="S222" s="2">
        <v>17.440000534057599</v>
      </c>
      <c r="T222" s="2">
        <v>460.850006103515</v>
      </c>
      <c r="U222" s="2">
        <v>68.065002441406193</v>
      </c>
      <c r="V222" s="2">
        <v>854.25</v>
      </c>
      <c r="W222" s="2">
        <v>362.14999389648398</v>
      </c>
      <c r="X222" s="2">
        <v>474</v>
      </c>
      <c r="Y222" s="2">
        <v>1805.40002441406</v>
      </c>
      <c r="Z222" s="2">
        <v>2254.39990234375</v>
      </c>
      <c r="AA222" s="2">
        <v>1852.59997558593</v>
      </c>
      <c r="AB222" s="2">
        <v>459.45001220703102</v>
      </c>
      <c r="AC222" s="2">
        <v>168</v>
      </c>
      <c r="AD222" s="2">
        <v>105.199996948242</v>
      </c>
      <c r="AE222" s="2">
        <v>765.29998779296795</v>
      </c>
      <c r="AG222" s="2">
        <v>18285.400390625</v>
      </c>
      <c r="AH222" s="2">
        <v>61773.78125</v>
      </c>
      <c r="AI222" s="2">
        <v>30014.8203125</v>
      </c>
    </row>
    <row r="223" spans="1:35" x14ac:dyDescent="0.3">
      <c r="A223" s="1">
        <v>45072</v>
      </c>
      <c r="B223" s="2">
        <v>60.389999389648402</v>
      </c>
      <c r="C223" s="2">
        <v>1127.90002441406</v>
      </c>
      <c r="D223" s="2">
        <v>2154.85009765625</v>
      </c>
      <c r="E223" s="2">
        <v>93.632392883300696</v>
      </c>
      <c r="F223" s="2">
        <v>442.350006103515</v>
      </c>
      <c r="G223" s="2">
        <v>2137</v>
      </c>
      <c r="H223" s="2">
        <v>23.329999923706001</v>
      </c>
      <c r="I223" s="2">
        <v>3824.44995117187</v>
      </c>
      <c r="J223" s="2">
        <v>72.440002441406193</v>
      </c>
      <c r="K223" s="2">
        <v>206.94999694824199</v>
      </c>
      <c r="L223" s="2">
        <v>148.36000061035099</v>
      </c>
      <c r="M223" s="2">
        <v>6332.10009765625</v>
      </c>
      <c r="N223" s="2">
        <v>986.45001220703102</v>
      </c>
      <c r="O223" s="2">
        <v>67.389999389648395</v>
      </c>
      <c r="P223" s="2">
        <v>107.074996948242</v>
      </c>
      <c r="Q223" s="2">
        <v>226.5</v>
      </c>
      <c r="R223" s="2">
        <v>253.52000427246</v>
      </c>
      <c r="S223" s="2">
        <v>17.520000457763601</v>
      </c>
      <c r="T223" s="2">
        <v>463.39999389648398</v>
      </c>
      <c r="U223" s="2">
        <v>67.819999694824205</v>
      </c>
      <c r="V223" s="2">
        <v>849.15002441406205</v>
      </c>
      <c r="W223" s="2">
        <v>359.64999389648398</v>
      </c>
      <c r="X223" s="2">
        <v>475.79998779296801</v>
      </c>
      <c r="Y223" s="2">
        <v>1798.84997558593</v>
      </c>
      <c r="Z223" s="2">
        <v>2212</v>
      </c>
      <c r="AA223" s="2">
        <v>1783.40002441406</v>
      </c>
      <c r="AB223" s="2">
        <v>457.25</v>
      </c>
      <c r="AC223" s="2">
        <v>169.69999694824199</v>
      </c>
      <c r="AD223" s="2">
        <v>104.84999847412099</v>
      </c>
      <c r="AE223" s="2">
        <v>768.54998779296795</v>
      </c>
      <c r="AG223" s="2">
        <v>18321.150390625</v>
      </c>
      <c r="AH223" s="2">
        <v>61872.62109375</v>
      </c>
      <c r="AI223" s="2">
        <v>30162.66015625</v>
      </c>
    </row>
    <row r="224" spans="1:35" x14ac:dyDescent="0.3">
      <c r="A224" s="1">
        <v>45076</v>
      </c>
      <c r="B224" s="2">
        <v>59.220001220703097</v>
      </c>
      <c r="C224" s="2">
        <v>1114</v>
      </c>
      <c r="D224" s="2">
        <v>2121.64990234375</v>
      </c>
      <c r="E224" s="2">
        <v>96.165702819824205</v>
      </c>
      <c r="F224" s="2">
        <v>441.5</v>
      </c>
      <c r="G224" s="2">
        <v>2146.44995117187</v>
      </c>
      <c r="H224" s="2">
        <v>23.4699993133544</v>
      </c>
      <c r="I224" s="2">
        <v>3896.39990234375</v>
      </c>
      <c r="J224" s="2">
        <v>71.879997253417898</v>
      </c>
      <c r="K224" s="2">
        <v>200.30000305175699</v>
      </c>
      <c r="L224" s="2">
        <v>147.600006103515</v>
      </c>
      <c r="M224" s="2">
        <v>6392.5</v>
      </c>
      <c r="N224" s="2">
        <v>979.59997558593705</v>
      </c>
      <c r="O224" s="2">
        <v>66.849998474121094</v>
      </c>
      <c r="P224" s="2">
        <v>102.550003051757</v>
      </c>
      <c r="Q224" s="2">
        <v>249.64999389648401</v>
      </c>
      <c r="R224" s="2">
        <v>259.17999267578102</v>
      </c>
      <c r="S224" s="2">
        <v>17.299999237060501</v>
      </c>
      <c r="T224" s="2">
        <v>487.95001220703102</v>
      </c>
      <c r="U224" s="2">
        <v>68.055000305175696</v>
      </c>
      <c r="V224" s="2">
        <v>873.15002441406205</v>
      </c>
      <c r="W224" s="2">
        <v>364.20001220703102</v>
      </c>
      <c r="X224" s="2">
        <v>477</v>
      </c>
      <c r="Y224" s="2">
        <v>1822.44995117187</v>
      </c>
      <c r="Z224" s="2">
        <v>2183.19995117187</v>
      </c>
      <c r="AA224" s="2">
        <v>1799.34997558593</v>
      </c>
      <c r="AB224" s="2">
        <v>457.850006103515</v>
      </c>
      <c r="AC224" s="2">
        <v>176.600006103515</v>
      </c>
      <c r="AD224" s="2">
        <v>106.400001525878</v>
      </c>
      <c r="AE224" s="2">
        <v>791.59997558593705</v>
      </c>
      <c r="AG224" s="2">
        <v>18499.349609375</v>
      </c>
      <c r="AH224" s="2">
        <v>62501.69140625</v>
      </c>
      <c r="AI224" s="2">
        <v>30253.330078125</v>
      </c>
    </row>
    <row r="225" spans="1:35" x14ac:dyDescent="0.3">
      <c r="A225" s="1">
        <v>45077</v>
      </c>
      <c r="B225" s="2">
        <v>59.400001525878899</v>
      </c>
      <c r="C225" s="2">
        <v>1136.80004882812</v>
      </c>
      <c r="D225" s="2">
        <v>2106.75</v>
      </c>
      <c r="E225" s="2">
        <v>98.5323486328125</v>
      </c>
      <c r="F225" s="2">
        <v>453.95001220703102</v>
      </c>
      <c r="G225" s="2">
        <v>2215.19995117187</v>
      </c>
      <c r="H225" s="2">
        <v>22.9899997711181</v>
      </c>
      <c r="I225" s="2">
        <v>3863.39990234375</v>
      </c>
      <c r="J225" s="2">
        <v>72.349998474121094</v>
      </c>
      <c r="K225" s="2">
        <v>198.89999389648401</v>
      </c>
      <c r="L225" s="2">
        <v>149.27000427246</v>
      </c>
      <c r="M225" s="2">
        <v>6343.0498046875</v>
      </c>
      <c r="N225" s="2">
        <v>982.40002441406205</v>
      </c>
      <c r="O225" s="2">
        <v>66.389999389648395</v>
      </c>
      <c r="P225" s="2">
        <v>102.375</v>
      </c>
      <c r="Q225" s="2">
        <v>237.19999694824199</v>
      </c>
      <c r="R225" s="2">
        <v>257.47000122070301</v>
      </c>
      <c r="S225" s="2">
        <v>17.420000076293899</v>
      </c>
      <c r="T225" s="2">
        <v>480.850006103515</v>
      </c>
      <c r="U225" s="2">
        <v>66.974998474121094</v>
      </c>
      <c r="V225" s="2">
        <v>868.54998779296795</v>
      </c>
      <c r="W225" s="2">
        <v>360.70001220703102</v>
      </c>
      <c r="X225" s="2">
        <v>476.29998779296801</v>
      </c>
      <c r="Y225" s="2">
        <v>1852.69995117187</v>
      </c>
      <c r="Z225" s="2">
        <v>2119.10009765625</v>
      </c>
      <c r="AA225" s="2">
        <v>1853.94995117187</v>
      </c>
      <c r="AB225" s="2">
        <v>451.45001220703102</v>
      </c>
      <c r="AC225" s="2">
        <v>189.19999694824199</v>
      </c>
      <c r="AD225" s="2">
        <v>108.449996948242</v>
      </c>
      <c r="AE225" s="2">
        <v>778.40002441406205</v>
      </c>
      <c r="AG225" s="2">
        <v>18598.650390625</v>
      </c>
      <c r="AH225" s="2">
        <v>62846.37890625</v>
      </c>
      <c r="AI225" s="2">
        <v>30319.369140625</v>
      </c>
    </row>
    <row r="226" spans="1:35" x14ac:dyDescent="0.3">
      <c r="A226" s="1">
        <v>45078</v>
      </c>
      <c r="B226" s="2">
        <v>58.110000610351499</v>
      </c>
      <c r="C226" s="2">
        <v>1142.25</v>
      </c>
      <c r="D226" s="2">
        <v>2116.69995117187</v>
      </c>
      <c r="E226" s="2">
        <v>103.63229370117099</v>
      </c>
      <c r="F226" s="2">
        <v>446.29998779296801</v>
      </c>
      <c r="G226" s="2">
        <v>2227.19995117187</v>
      </c>
      <c r="H226" s="2">
        <v>22.7600002288818</v>
      </c>
      <c r="I226" s="2">
        <v>3934.5</v>
      </c>
      <c r="J226" s="2">
        <v>72.010002136230398</v>
      </c>
      <c r="K226" s="2">
        <v>199.80000305175699</v>
      </c>
      <c r="L226" s="2">
        <v>149.63999938964801</v>
      </c>
      <c r="M226" s="2">
        <v>6401.0498046875</v>
      </c>
      <c r="N226" s="2">
        <v>970.09997558593705</v>
      </c>
      <c r="O226" s="2">
        <v>66.199996948242102</v>
      </c>
      <c r="P226" s="2">
        <v>101.650001525878</v>
      </c>
      <c r="Q226" s="2">
        <v>241.05000305175699</v>
      </c>
      <c r="R226" s="2">
        <v>259.14001464843699</v>
      </c>
      <c r="S226" s="2">
        <v>17.4699993133544</v>
      </c>
      <c r="T226" s="2">
        <v>486.350006103515</v>
      </c>
      <c r="U226" s="2">
        <v>66.610000610351506</v>
      </c>
      <c r="V226" s="2">
        <v>872.09997558593705</v>
      </c>
      <c r="W226" s="2">
        <v>360.5</v>
      </c>
      <c r="X226" s="2">
        <v>474.20001220703102</v>
      </c>
      <c r="Y226" s="2">
        <v>1903.44995117187</v>
      </c>
      <c r="Z226" s="2">
        <v>2102.75</v>
      </c>
      <c r="AA226" s="2">
        <v>1946.59997558593</v>
      </c>
      <c r="AB226" s="2">
        <v>455.5</v>
      </c>
      <c r="AC226" s="2">
        <v>206.19999694824199</v>
      </c>
      <c r="AD226" s="2">
        <v>107.050003051757</v>
      </c>
      <c r="AE226" s="2">
        <v>782.75</v>
      </c>
      <c r="AG226" s="2">
        <v>18633.849609375</v>
      </c>
      <c r="AH226" s="2">
        <v>62969.12890625</v>
      </c>
      <c r="AI226" s="2">
        <v>30524.8203125</v>
      </c>
    </row>
    <row r="227" spans="1:35" x14ac:dyDescent="0.3">
      <c r="A227" s="1">
        <v>45079</v>
      </c>
      <c r="B227" s="2">
        <v>57.400001525878899</v>
      </c>
      <c r="C227" s="2">
        <v>1135.75</v>
      </c>
      <c r="D227" s="2">
        <v>2143.44995117187</v>
      </c>
      <c r="E227" s="2">
        <v>103.46562957763599</v>
      </c>
      <c r="F227" s="2">
        <v>449.54998779296801</v>
      </c>
      <c r="G227" s="2">
        <v>2196.25</v>
      </c>
      <c r="H227" s="2">
        <v>23.0100002288818</v>
      </c>
      <c r="I227" s="2">
        <v>3912.69995117187</v>
      </c>
      <c r="J227" s="2">
        <v>71.959999084472599</v>
      </c>
      <c r="K227" s="2">
        <v>199.100006103515</v>
      </c>
      <c r="L227" s="2">
        <v>150.77000427246</v>
      </c>
      <c r="M227" s="2">
        <v>6384</v>
      </c>
      <c r="N227" s="2">
        <v>981.84997558593705</v>
      </c>
      <c r="O227" s="2">
        <v>67.019996643066406</v>
      </c>
      <c r="P227" s="2">
        <v>101.275001525878</v>
      </c>
      <c r="Q227" s="2">
        <v>242.05000305175699</v>
      </c>
      <c r="R227" s="2">
        <v>259.08999633789</v>
      </c>
      <c r="S227" s="2">
        <v>17.370000839233398</v>
      </c>
      <c r="T227" s="2">
        <v>485.725006103515</v>
      </c>
      <c r="U227" s="2">
        <v>66.555000305175696</v>
      </c>
      <c r="V227" s="2">
        <v>877.95001220703102</v>
      </c>
      <c r="W227" s="2">
        <v>359.04998779296801</v>
      </c>
      <c r="X227" s="2">
        <v>477.39999389648398</v>
      </c>
      <c r="Y227" s="2">
        <v>1929.59997558593</v>
      </c>
      <c r="Z227" s="2">
        <v>1912.40002441406</v>
      </c>
      <c r="AA227" s="2">
        <v>1979</v>
      </c>
      <c r="AB227" s="2">
        <v>483.89999389648398</v>
      </c>
      <c r="AC227" s="2">
        <v>200.94999694824199</v>
      </c>
      <c r="AD227" s="2">
        <v>105.800003051757</v>
      </c>
      <c r="AE227" s="2">
        <v>787.90002441406205</v>
      </c>
      <c r="AG227" s="2">
        <v>18534.400390625</v>
      </c>
      <c r="AH227" s="2">
        <v>62622.23828125</v>
      </c>
      <c r="AI227" s="2">
        <v>30711.669921875</v>
      </c>
    </row>
    <row r="228" spans="1:35" x14ac:dyDescent="0.3">
      <c r="A228" s="1">
        <v>45082</v>
      </c>
      <c r="B228" s="2">
        <v>57.540000915527301</v>
      </c>
      <c r="C228" s="2">
        <v>1167.05004882812</v>
      </c>
      <c r="D228" s="2">
        <v>2170.39990234375</v>
      </c>
      <c r="E228" s="2">
        <v>105.16561126708901</v>
      </c>
      <c r="F228" s="2">
        <v>459.79998779296801</v>
      </c>
      <c r="G228" s="2">
        <v>2196.30004882812</v>
      </c>
      <c r="H228" s="2">
        <v>22.899999618530199</v>
      </c>
      <c r="I228" s="2">
        <v>3861.19995117187</v>
      </c>
      <c r="J228" s="2">
        <v>72.150001525878906</v>
      </c>
      <c r="K228" s="2">
        <v>196.94999694824199</v>
      </c>
      <c r="L228" s="2">
        <v>150.44999694824199</v>
      </c>
      <c r="M228" s="2">
        <v>6405.10009765625</v>
      </c>
      <c r="N228" s="2">
        <v>979.84997558593705</v>
      </c>
      <c r="O228" s="2">
        <v>66.379997253417898</v>
      </c>
      <c r="P228" s="2">
        <v>102.59999847412099</v>
      </c>
      <c r="Q228" s="2">
        <v>238.75</v>
      </c>
      <c r="R228" s="2">
        <v>258.20999145507801</v>
      </c>
      <c r="S228" s="2">
        <v>17.280000686645501</v>
      </c>
      <c r="T228" s="2">
        <v>493.64999389648398</v>
      </c>
      <c r="U228" s="2">
        <v>67.004997253417898</v>
      </c>
      <c r="V228" s="2">
        <v>947.84997558593705</v>
      </c>
      <c r="W228" s="2">
        <v>358.75</v>
      </c>
      <c r="X228" s="2">
        <v>474.95001220703102</v>
      </c>
      <c r="Y228" s="2">
        <v>1937.59997558593</v>
      </c>
      <c r="Z228" s="2">
        <v>2038.84997558593</v>
      </c>
      <c r="AA228" s="2">
        <v>1954.09997558593</v>
      </c>
      <c r="AB228" s="2">
        <v>479.54998779296801</v>
      </c>
      <c r="AC228" s="2">
        <v>207.89999389648401</v>
      </c>
      <c r="AD228" s="2">
        <v>105.949996948242</v>
      </c>
      <c r="AE228" s="2">
        <v>790.45001220703102</v>
      </c>
      <c r="AG228" s="2">
        <v>18487.75</v>
      </c>
      <c r="AH228" s="2">
        <v>62428.5390625</v>
      </c>
      <c r="AI228" s="2">
        <v>30885.69921875</v>
      </c>
    </row>
    <row r="229" spans="1:35" x14ac:dyDescent="0.3">
      <c r="A229" s="1">
        <v>45083</v>
      </c>
      <c r="B229" s="2">
        <v>59.020000457763601</v>
      </c>
      <c r="C229" s="2">
        <v>1163.5</v>
      </c>
      <c r="D229" s="2">
        <v>2170.25</v>
      </c>
      <c r="E229" s="2">
        <v>105.69894409179599</v>
      </c>
      <c r="F229" s="2">
        <v>456.5</v>
      </c>
      <c r="G229" s="2">
        <v>2172.64990234375</v>
      </c>
      <c r="H229" s="2">
        <v>22.795000076293899</v>
      </c>
      <c r="I229" s="2">
        <v>3847.60009765625</v>
      </c>
      <c r="J229" s="2">
        <v>73.419998168945298</v>
      </c>
      <c r="K229" s="2">
        <v>195.89999389648401</v>
      </c>
      <c r="L229" s="2">
        <v>150.27999877929599</v>
      </c>
      <c r="M229" s="2">
        <v>6396.64990234375</v>
      </c>
      <c r="N229" s="2">
        <v>981.54998779296795</v>
      </c>
      <c r="O229" s="2">
        <v>66.760002136230398</v>
      </c>
      <c r="P229" s="2">
        <v>101.025001525878</v>
      </c>
      <c r="Q229" s="2">
        <v>236.19999694824199</v>
      </c>
      <c r="R229" s="2">
        <v>255.11000061035099</v>
      </c>
      <c r="S229" s="2">
        <v>18.1800003051757</v>
      </c>
      <c r="T229" s="2">
        <v>492.02499389648398</v>
      </c>
      <c r="U229" s="2">
        <v>68.309997558593693</v>
      </c>
      <c r="V229" s="2">
        <v>1011.65002441406</v>
      </c>
      <c r="W229" s="2">
        <v>376.70001220703102</v>
      </c>
      <c r="X229" s="2">
        <v>474.70001220703102</v>
      </c>
      <c r="Y229" s="2">
        <v>1936.5</v>
      </c>
      <c r="Z229" s="2">
        <v>2068.85009765625</v>
      </c>
      <c r="AA229" s="2">
        <v>1966.90002441406</v>
      </c>
      <c r="AB229" s="2">
        <v>476.600006103515</v>
      </c>
      <c r="AC229" s="2">
        <v>210.350006103515</v>
      </c>
      <c r="AD229" s="2">
        <v>108</v>
      </c>
      <c r="AE229" s="2">
        <v>847</v>
      </c>
      <c r="AG229" s="2">
        <v>18534.099609375</v>
      </c>
      <c r="AH229" s="2">
        <v>62547.109375</v>
      </c>
      <c r="AI229" s="2">
        <v>31043.529296875</v>
      </c>
    </row>
    <row r="230" spans="1:35" x14ac:dyDescent="0.3">
      <c r="A230" s="1">
        <v>45084</v>
      </c>
      <c r="B230" s="2">
        <v>59.430000305175703</v>
      </c>
      <c r="C230" s="2">
        <v>1176.5</v>
      </c>
      <c r="D230" s="2">
        <v>2168</v>
      </c>
      <c r="E230" s="2">
        <v>109.53223419189401</v>
      </c>
      <c r="F230" s="2">
        <v>450.89999389648398</v>
      </c>
      <c r="G230" s="2">
        <v>2179.64990234375</v>
      </c>
      <c r="H230" s="2">
        <v>22.8050003051757</v>
      </c>
      <c r="I230" s="2">
        <v>3859.39990234375</v>
      </c>
      <c r="J230" s="2">
        <v>71.940002441406193</v>
      </c>
      <c r="K230" s="2">
        <v>199.55000305175699</v>
      </c>
      <c r="L230" s="2">
        <v>149.82000732421801</v>
      </c>
      <c r="M230" s="2">
        <v>6399.5498046875</v>
      </c>
      <c r="N230" s="2">
        <v>977.45001220703102</v>
      </c>
      <c r="O230" s="2">
        <v>67.550003051757798</v>
      </c>
      <c r="P230" s="2">
        <v>103.75</v>
      </c>
      <c r="Q230" s="2">
        <v>237.44999694824199</v>
      </c>
      <c r="R230" s="2">
        <v>260.10998535156199</v>
      </c>
      <c r="S230" s="2">
        <v>18.770000457763601</v>
      </c>
      <c r="T230" s="2">
        <v>485.70001220703102</v>
      </c>
      <c r="U230" s="2">
        <v>71.684997558593693</v>
      </c>
      <c r="V230" s="2">
        <v>1003.04998779296</v>
      </c>
      <c r="W230" s="2">
        <v>381.70001220703102</v>
      </c>
      <c r="X230" s="2">
        <v>476.89999389648398</v>
      </c>
      <c r="Y230" s="2">
        <v>2037.5</v>
      </c>
      <c r="Z230" s="2">
        <v>1979.84997558593</v>
      </c>
      <c r="AA230" s="2">
        <v>1982.25</v>
      </c>
      <c r="AB230" s="2">
        <v>475.39999389648398</v>
      </c>
      <c r="AC230" s="2">
        <v>208.25</v>
      </c>
      <c r="AD230" s="2">
        <v>109.400001525878</v>
      </c>
      <c r="AE230" s="2">
        <v>850.5</v>
      </c>
      <c r="AG230" s="2">
        <v>18593.849609375</v>
      </c>
      <c r="AH230" s="2">
        <v>62787.46875</v>
      </c>
      <c r="AI230" s="2">
        <v>31174.98046875</v>
      </c>
    </row>
    <row r="231" spans="1:35" x14ac:dyDescent="0.3">
      <c r="A231" s="1">
        <v>45085</v>
      </c>
      <c r="B231" s="2">
        <v>59.4799995422363</v>
      </c>
      <c r="C231" s="2">
        <v>1201.34997558593</v>
      </c>
      <c r="D231" s="2">
        <v>2179.5</v>
      </c>
      <c r="E231" s="2">
        <v>110.06556701660099</v>
      </c>
      <c r="F231" s="2">
        <v>457.600006103515</v>
      </c>
      <c r="G231" s="2">
        <v>2169.25</v>
      </c>
      <c r="H231" s="2">
        <v>22.795000076293899</v>
      </c>
      <c r="I231" s="2">
        <v>3826.75</v>
      </c>
      <c r="J231" s="2">
        <v>71.980003356933594</v>
      </c>
      <c r="K231" s="2">
        <v>198.19999694824199</v>
      </c>
      <c r="L231" s="2">
        <v>155.83999633789</v>
      </c>
      <c r="M231" s="2">
        <v>6392.5</v>
      </c>
      <c r="N231" s="2">
        <v>1015.70001220703</v>
      </c>
      <c r="O231" s="2">
        <v>67.019996643066406</v>
      </c>
      <c r="P231" s="2">
        <v>105.525001525878</v>
      </c>
      <c r="Q231" s="2">
        <v>231.89999389648401</v>
      </c>
      <c r="R231" s="2">
        <v>260.350006103515</v>
      </c>
      <c r="S231" s="2">
        <v>18.379999160766602</v>
      </c>
      <c r="T231" s="2">
        <v>484.02499389648398</v>
      </c>
      <c r="U231" s="2">
        <v>78.010002136230398</v>
      </c>
      <c r="V231" s="2">
        <v>1003.25</v>
      </c>
      <c r="W231" s="2">
        <v>378.14999389648398</v>
      </c>
      <c r="X231" s="2">
        <v>474.850006103515</v>
      </c>
      <c r="Y231" s="2">
        <v>2069.14990234375</v>
      </c>
      <c r="Z231" s="2">
        <v>2026.94995117187</v>
      </c>
      <c r="AA231" s="2">
        <v>2013.84997558593</v>
      </c>
      <c r="AB231" s="2">
        <v>472.79998779296801</v>
      </c>
      <c r="AC231" s="2">
        <v>211.5</v>
      </c>
      <c r="AD231" s="2">
        <v>109</v>
      </c>
      <c r="AE231" s="2">
        <v>855.25</v>
      </c>
      <c r="AG231" s="2">
        <v>18599</v>
      </c>
      <c r="AH231" s="2">
        <v>62792.87890625</v>
      </c>
      <c r="AI231" s="2">
        <v>31533.6796875</v>
      </c>
    </row>
    <row r="232" spans="1:35" x14ac:dyDescent="0.3">
      <c r="A232" s="1">
        <v>45086</v>
      </c>
      <c r="B232" s="2">
        <v>59.069999694824197</v>
      </c>
      <c r="C232" s="2">
        <v>1227.55004882812</v>
      </c>
      <c r="D232" s="2">
        <v>2155.5</v>
      </c>
      <c r="E232" s="2">
        <v>107.132263183593</v>
      </c>
      <c r="F232" s="2">
        <v>477.54998779296801</v>
      </c>
      <c r="G232" s="2">
        <v>2150.10009765625</v>
      </c>
      <c r="H232" s="2">
        <v>22.514999389648398</v>
      </c>
      <c r="I232" s="2">
        <v>3863.39990234375</v>
      </c>
      <c r="J232" s="2">
        <v>73.160003662109304</v>
      </c>
      <c r="K232" s="2">
        <v>197.44999694824199</v>
      </c>
      <c r="L232" s="2">
        <v>161.33999633789</v>
      </c>
      <c r="M232" s="2">
        <v>6394.14990234375</v>
      </c>
      <c r="N232" s="2">
        <v>979.40002441406205</v>
      </c>
      <c r="O232" s="2">
        <v>66.150001525878906</v>
      </c>
      <c r="P232" s="2">
        <v>106.400001525878</v>
      </c>
      <c r="Q232" s="2">
        <v>230.05000305175699</v>
      </c>
      <c r="R232" s="2">
        <v>257.95999145507801</v>
      </c>
      <c r="S232" s="2">
        <v>18.659999847412099</v>
      </c>
      <c r="T232" s="2">
        <v>491.04998779296801</v>
      </c>
      <c r="U232" s="2">
        <v>78.269996643066406</v>
      </c>
      <c r="V232" s="2">
        <v>1007.54998779296</v>
      </c>
      <c r="W232" s="2">
        <v>372.95001220703102</v>
      </c>
      <c r="X232" s="2">
        <v>475.70001220703102</v>
      </c>
      <c r="Y232" s="2">
        <v>2068.5</v>
      </c>
      <c r="Z232" s="2">
        <v>1985.19995117187</v>
      </c>
      <c r="AA232" s="2">
        <v>1969.69995117187</v>
      </c>
      <c r="AB232" s="2">
        <v>470</v>
      </c>
      <c r="AC232" s="2">
        <v>205.600006103515</v>
      </c>
      <c r="AD232" s="2">
        <v>111.5</v>
      </c>
      <c r="AE232" s="2">
        <v>823.75</v>
      </c>
      <c r="AG232" s="2">
        <v>18726.400390625</v>
      </c>
      <c r="AH232" s="2">
        <v>63142.9609375</v>
      </c>
      <c r="AI232" s="2">
        <v>31385.130859375</v>
      </c>
    </row>
    <row r="233" spans="1:35" x14ac:dyDescent="0.3">
      <c r="A233" s="1">
        <v>45089</v>
      </c>
      <c r="B233" s="2">
        <v>59.610000610351499</v>
      </c>
      <c r="C233" s="2">
        <v>1266.34997558593</v>
      </c>
      <c r="D233" s="2">
        <v>2165</v>
      </c>
      <c r="E233" s="2">
        <v>105.798942565917</v>
      </c>
      <c r="F233" s="2">
        <v>474.75</v>
      </c>
      <c r="G233" s="2">
        <v>2162.89990234375</v>
      </c>
      <c r="H233" s="2">
        <v>22.329999923706001</v>
      </c>
      <c r="I233" s="2">
        <v>3927.75</v>
      </c>
      <c r="J233" s="2">
        <v>74.720001220703097</v>
      </c>
      <c r="K233" s="2">
        <v>206.5</v>
      </c>
      <c r="L233" s="2">
        <v>160.02000427246</v>
      </c>
      <c r="M233" s="2">
        <v>6423.9501953125</v>
      </c>
      <c r="N233" s="2">
        <v>981.59997558593705</v>
      </c>
      <c r="O233" s="2">
        <v>66</v>
      </c>
      <c r="P233" s="2">
        <v>113.25</v>
      </c>
      <c r="Q233" s="2">
        <v>228.55000305175699</v>
      </c>
      <c r="R233" s="2">
        <v>259.79998779296801</v>
      </c>
      <c r="S233" s="2">
        <v>18.350000381469702</v>
      </c>
      <c r="T233" s="2">
        <v>497.89999389648398</v>
      </c>
      <c r="U233" s="2">
        <v>76.510002136230398</v>
      </c>
      <c r="V233" s="2">
        <v>1033.19995117187</v>
      </c>
      <c r="W233" s="2">
        <v>375.850006103515</v>
      </c>
      <c r="X233" s="2">
        <v>475.79998779296801</v>
      </c>
      <c r="Y233" s="2">
        <v>2171.30004882812</v>
      </c>
      <c r="Z233" s="2">
        <v>1912.59997558593</v>
      </c>
      <c r="AA233" s="2">
        <v>1924.65002441406</v>
      </c>
      <c r="AB233" s="2">
        <v>466.04998779296801</v>
      </c>
      <c r="AC233" s="2">
        <v>208.19999694824199</v>
      </c>
      <c r="AD233" s="2">
        <v>111.150001525878</v>
      </c>
      <c r="AE233" s="2">
        <v>823.54998779296795</v>
      </c>
      <c r="AG233" s="2">
        <v>18634.55078125</v>
      </c>
      <c r="AH233" s="2">
        <v>62848.640625</v>
      </c>
      <c r="AI233" s="2">
        <v>31391.990234375</v>
      </c>
    </row>
    <row r="234" spans="1:35" x14ac:dyDescent="0.3">
      <c r="A234" s="1">
        <v>45090</v>
      </c>
      <c r="B234" s="2">
        <v>59.560001373291001</v>
      </c>
      <c r="C234" s="2">
        <v>1293.5</v>
      </c>
      <c r="D234" s="2">
        <v>2198.19995117187</v>
      </c>
      <c r="E234" s="2">
        <v>91.165756225585895</v>
      </c>
      <c r="F234" s="2">
        <v>470.04998779296801</v>
      </c>
      <c r="G234" s="2">
        <v>2165.19995117187</v>
      </c>
      <c r="H234" s="2">
        <v>21.540000915527301</v>
      </c>
      <c r="I234" s="2">
        <v>3949.75</v>
      </c>
      <c r="J234" s="2">
        <v>75.680000305175696</v>
      </c>
      <c r="K234" s="2">
        <v>202.25</v>
      </c>
      <c r="L234" s="2">
        <v>159.33999633789</v>
      </c>
      <c r="M234" s="2">
        <v>6427.35009765625</v>
      </c>
      <c r="N234" s="2">
        <v>975.59997558593705</v>
      </c>
      <c r="O234" s="2">
        <v>65.819999694824205</v>
      </c>
      <c r="P234" s="2">
        <v>113.5</v>
      </c>
      <c r="Q234" s="2">
        <v>239.94999694824199</v>
      </c>
      <c r="R234" s="2">
        <v>257.579986572265</v>
      </c>
      <c r="S234" s="2">
        <v>18.2199993133544</v>
      </c>
      <c r="T234" s="2">
        <v>517.54998779296795</v>
      </c>
      <c r="U234" s="2">
        <v>76.879997253417898</v>
      </c>
      <c r="V234" s="2">
        <v>1039.84997558593</v>
      </c>
      <c r="W234" s="2">
        <v>380.45001220703102</v>
      </c>
      <c r="X234" s="2">
        <v>475.25</v>
      </c>
      <c r="Y234" s="2">
        <v>2098.89990234375</v>
      </c>
      <c r="Z234" s="2">
        <v>1930.75</v>
      </c>
      <c r="AA234" s="2">
        <v>1997.59997558593</v>
      </c>
      <c r="AB234" s="2">
        <v>466.75</v>
      </c>
      <c r="AC234" s="2">
        <v>211.80000305175699</v>
      </c>
      <c r="AD234" s="2">
        <v>108.900001525878</v>
      </c>
      <c r="AE234" s="2">
        <v>925.79998779296795</v>
      </c>
      <c r="AG234" s="2">
        <v>18563.400390625</v>
      </c>
      <c r="AH234" s="2">
        <v>62625.62890625</v>
      </c>
      <c r="AI234" s="2">
        <v>31617.369140625</v>
      </c>
    </row>
    <row r="235" spans="1:35" x14ac:dyDescent="0.3">
      <c r="A235" s="1">
        <v>45091</v>
      </c>
      <c r="B235" s="2">
        <v>60.119998931884702</v>
      </c>
      <c r="C235" s="2">
        <v>1349.09997558593</v>
      </c>
      <c r="D235" s="2">
        <v>2240.19995117187</v>
      </c>
      <c r="E235" s="2">
        <v>86.199134826660099</v>
      </c>
      <c r="F235" s="2">
        <v>466.350006103515</v>
      </c>
      <c r="G235" s="2">
        <v>2184</v>
      </c>
      <c r="H235" s="2">
        <v>22.129999160766602</v>
      </c>
      <c r="I235" s="2">
        <v>3897.39990234375</v>
      </c>
      <c r="J235" s="2">
        <v>81.480003356933594</v>
      </c>
      <c r="K235" s="2">
        <v>199.05000305175699</v>
      </c>
      <c r="L235" s="2">
        <v>157.11000061035099</v>
      </c>
      <c r="M235" s="2">
        <v>6322.35009765625</v>
      </c>
      <c r="N235" s="2">
        <v>968.15002441406205</v>
      </c>
      <c r="O235" s="2">
        <v>65.739997863769503</v>
      </c>
      <c r="P235" s="2">
        <v>114</v>
      </c>
      <c r="Q235" s="2">
        <v>245.350006103515</v>
      </c>
      <c r="R235" s="2">
        <v>259.79998779296801</v>
      </c>
      <c r="S235" s="2">
        <v>19.770000457763601</v>
      </c>
      <c r="T235" s="2">
        <v>508.375</v>
      </c>
      <c r="U235" s="2">
        <v>78.035003662109304</v>
      </c>
      <c r="V235" s="2">
        <v>1029.84997558593</v>
      </c>
      <c r="W235" s="2">
        <v>379.25</v>
      </c>
      <c r="X235" s="2">
        <v>476.89999389648398</v>
      </c>
      <c r="Y235" s="2">
        <v>2109.75</v>
      </c>
      <c r="Z235" s="2">
        <v>1959.19995117187</v>
      </c>
      <c r="AA235" s="2">
        <v>1957.34997558593</v>
      </c>
      <c r="AB235" s="2">
        <v>468.70001220703102</v>
      </c>
      <c r="AC235" s="2">
        <v>210.350006103515</v>
      </c>
      <c r="AD235" s="2">
        <v>109.5</v>
      </c>
      <c r="AE235" s="2">
        <v>927.59997558593705</v>
      </c>
      <c r="AG235" s="2">
        <v>18601.5</v>
      </c>
      <c r="AH235" s="2">
        <v>62724.7109375</v>
      </c>
      <c r="AI235" s="2">
        <v>31876.69921875</v>
      </c>
    </row>
    <row r="236" spans="1:35" x14ac:dyDescent="0.3">
      <c r="A236" s="1">
        <v>45092</v>
      </c>
      <c r="B236" s="2">
        <v>59.590000152587798</v>
      </c>
      <c r="C236" s="2">
        <v>1312.15002441406</v>
      </c>
      <c r="D236" s="2">
        <v>2252.30004882812</v>
      </c>
      <c r="E236" s="2">
        <v>88.799110412597599</v>
      </c>
      <c r="F236" s="2">
        <v>461.64999389648398</v>
      </c>
      <c r="G236" s="2">
        <v>2193.44995117187</v>
      </c>
      <c r="H236" s="2">
        <v>22.034999847412099</v>
      </c>
      <c r="I236" s="2">
        <v>3907.05004882812</v>
      </c>
      <c r="J236" s="2">
        <v>85.430000305175696</v>
      </c>
      <c r="K236" s="2">
        <v>203.44999694824199</v>
      </c>
      <c r="L236" s="2">
        <v>158.63999938964801</v>
      </c>
      <c r="M236" s="2">
        <v>6350</v>
      </c>
      <c r="N236" s="2">
        <v>1004.45001220703</v>
      </c>
      <c r="O236" s="2">
        <v>65.769996643066406</v>
      </c>
      <c r="P236" s="2">
        <v>121.050003051757</v>
      </c>
      <c r="Q236" s="2">
        <v>242.30000305175699</v>
      </c>
      <c r="R236" s="2">
        <v>258.11999511718699</v>
      </c>
      <c r="S236" s="2">
        <v>20.360000610351499</v>
      </c>
      <c r="T236" s="2">
        <v>520.04998779296795</v>
      </c>
      <c r="U236" s="2">
        <v>77.004997253417898</v>
      </c>
      <c r="V236" s="2">
        <v>1014.59997558593</v>
      </c>
      <c r="W236" s="2">
        <v>409.600006103515</v>
      </c>
      <c r="X236" s="2">
        <v>477.04998779296801</v>
      </c>
      <c r="Y236" s="2">
        <v>2135.64990234375</v>
      </c>
      <c r="Z236" s="2">
        <v>1915.65002441406</v>
      </c>
      <c r="AA236" s="2">
        <v>2009</v>
      </c>
      <c r="AB236" s="2">
        <v>467.75</v>
      </c>
      <c r="AC236" s="2">
        <v>213.600006103515</v>
      </c>
      <c r="AD236" s="2">
        <v>111.150001525878</v>
      </c>
      <c r="AE236" s="2">
        <v>904.45001220703102</v>
      </c>
      <c r="AG236" s="2">
        <v>18716.150390625</v>
      </c>
      <c r="AH236" s="2">
        <v>63143.16015625</v>
      </c>
      <c r="AI236" s="2">
        <v>32011.900390625</v>
      </c>
    </row>
    <row r="237" spans="1:35" x14ac:dyDescent="0.3">
      <c r="A237" s="1">
        <v>45093</v>
      </c>
      <c r="B237" s="2">
        <v>59.240001678466797</v>
      </c>
      <c r="C237" s="2">
        <v>1297.84997558593</v>
      </c>
      <c r="D237" s="2">
        <v>2260.69995117187</v>
      </c>
      <c r="E237" s="2">
        <v>87.365791320800696</v>
      </c>
      <c r="F237" s="2">
        <v>454</v>
      </c>
      <c r="G237" s="2">
        <v>2196.64990234375</v>
      </c>
      <c r="H237" s="2">
        <v>21.965000152587798</v>
      </c>
      <c r="I237" s="2">
        <v>4010.14990234375</v>
      </c>
      <c r="J237" s="2">
        <v>88.730003356933594</v>
      </c>
      <c r="K237" s="2">
        <v>232.55000305175699</v>
      </c>
      <c r="L237" s="2">
        <v>156.32000732421801</v>
      </c>
      <c r="M237" s="2">
        <v>6358.0498046875</v>
      </c>
      <c r="N237" s="2">
        <v>996.79998779296795</v>
      </c>
      <c r="O237" s="2">
        <v>69.010002136230398</v>
      </c>
      <c r="P237" s="2">
        <v>123.425003051757</v>
      </c>
      <c r="Q237" s="2">
        <v>239.100006103515</v>
      </c>
      <c r="R237" s="2">
        <v>259.83999633789</v>
      </c>
      <c r="S237" s="2">
        <v>20.389999389648398</v>
      </c>
      <c r="T237" s="2">
        <v>505.5</v>
      </c>
      <c r="U237" s="2">
        <v>76.934997558593693</v>
      </c>
      <c r="V237" s="2">
        <v>1040.15002441406</v>
      </c>
      <c r="W237" s="2">
        <v>410.850006103515</v>
      </c>
      <c r="X237" s="2">
        <v>485.45001220703102</v>
      </c>
      <c r="Y237" s="2">
        <v>2098.85009765625</v>
      </c>
      <c r="Z237" s="2">
        <v>1923.44995117187</v>
      </c>
      <c r="AA237" s="2">
        <v>1989.65002441406</v>
      </c>
      <c r="AB237" s="2">
        <v>479.25</v>
      </c>
      <c r="AC237" s="2">
        <v>211.80000305175699</v>
      </c>
      <c r="AD237" s="2">
        <v>113.800003051757</v>
      </c>
      <c r="AE237" s="2">
        <v>910.25</v>
      </c>
      <c r="AG237" s="2">
        <v>18755.900390625</v>
      </c>
      <c r="AH237" s="2">
        <v>63228.51171875</v>
      </c>
      <c r="AI237" s="2">
        <v>32049.91015625</v>
      </c>
    </row>
    <row r="238" spans="1:35" x14ac:dyDescent="0.3">
      <c r="A238" s="1">
        <v>45096</v>
      </c>
      <c r="B238" s="2">
        <v>59.610000610351499</v>
      </c>
      <c r="C238" s="2">
        <v>1323.59997558593</v>
      </c>
      <c r="D238" s="2">
        <v>2369.64990234375</v>
      </c>
      <c r="E238" s="2">
        <v>86.299133300781193</v>
      </c>
      <c r="F238" s="2">
        <v>452.70001220703102</v>
      </c>
      <c r="G238" s="2">
        <v>2180.44995117187</v>
      </c>
      <c r="H238" s="2">
        <v>21.975000381469702</v>
      </c>
      <c r="I238" s="2">
        <v>3991.35009765625</v>
      </c>
      <c r="J238" s="2">
        <v>87.699996948242102</v>
      </c>
      <c r="K238" s="2">
        <v>237.64999389648401</v>
      </c>
      <c r="L238" s="2">
        <v>157.30999755859301</v>
      </c>
      <c r="M238" s="2">
        <v>6395.14990234375</v>
      </c>
      <c r="N238" s="2">
        <v>999.25</v>
      </c>
      <c r="O238" s="2">
        <v>68.199996948242102</v>
      </c>
      <c r="P238" s="2">
        <v>122.550003051757</v>
      </c>
      <c r="Q238" s="2">
        <v>232.350006103515</v>
      </c>
      <c r="R238" s="2">
        <v>258.16000366210898</v>
      </c>
      <c r="S238" s="2">
        <v>20.069999694824201</v>
      </c>
      <c r="T238" s="2">
        <v>512.97497558593705</v>
      </c>
      <c r="U238" s="2">
        <v>76.519996643066406</v>
      </c>
      <c r="V238" s="2">
        <v>1033.90002441406</v>
      </c>
      <c r="W238" s="2">
        <v>412.45001220703102</v>
      </c>
      <c r="X238" s="2">
        <v>486.45001220703102</v>
      </c>
      <c r="Y238" s="2">
        <v>2096.25</v>
      </c>
      <c r="Z238" s="2">
        <v>1903.19995117187</v>
      </c>
      <c r="AA238" s="2">
        <v>1965.75</v>
      </c>
      <c r="AB238" s="2">
        <v>477.70001220703102</v>
      </c>
      <c r="AC238" s="2">
        <v>222.44999694824199</v>
      </c>
      <c r="AD238" s="2">
        <v>113.75</v>
      </c>
      <c r="AE238" s="2">
        <v>894.09997558593705</v>
      </c>
      <c r="AG238" s="2">
        <v>18688.099609375</v>
      </c>
      <c r="AH238" s="2">
        <v>62917.62890625</v>
      </c>
      <c r="AI238" s="2">
        <v>32292.189453125</v>
      </c>
    </row>
    <row r="239" spans="1:35" x14ac:dyDescent="0.3">
      <c r="A239" s="1">
        <v>45097</v>
      </c>
      <c r="B239" s="2">
        <v>60.060001373291001</v>
      </c>
      <c r="C239" s="2">
        <v>1351.69995117187</v>
      </c>
      <c r="D239" s="2">
        <v>2436.69995117187</v>
      </c>
      <c r="E239" s="2">
        <v>87.532455444335895</v>
      </c>
      <c r="F239" s="2">
        <v>451.75</v>
      </c>
      <c r="G239" s="2">
        <v>2183.05004882812</v>
      </c>
      <c r="H239" s="2">
        <v>21.790000915527301</v>
      </c>
      <c r="I239" s="2">
        <v>4013.44995117187</v>
      </c>
      <c r="J239" s="2">
        <v>91.550003051757798</v>
      </c>
      <c r="K239" s="2">
        <v>232.850006103515</v>
      </c>
      <c r="L239" s="2">
        <v>160.13999938964801</v>
      </c>
      <c r="M239" s="2">
        <v>6383.4501953125</v>
      </c>
      <c r="N239" s="2">
        <v>1004.5</v>
      </c>
      <c r="O239" s="2">
        <v>68.919998168945298</v>
      </c>
      <c r="P239" s="2">
        <v>123.47499847412099</v>
      </c>
      <c r="Q239" s="2">
        <v>230.19999694824199</v>
      </c>
      <c r="R239" s="2">
        <v>257.25</v>
      </c>
      <c r="S239" s="2">
        <v>19.5100002288818</v>
      </c>
      <c r="T239" s="2">
        <v>508.850006103515</v>
      </c>
      <c r="U239" s="2">
        <v>80.580001831054602</v>
      </c>
      <c r="V239" s="2">
        <v>1041.40002441406</v>
      </c>
      <c r="W239" s="2">
        <v>428.14999389648398</v>
      </c>
      <c r="X239" s="2">
        <v>485.600006103515</v>
      </c>
      <c r="Y239" s="2">
        <v>2099.60009765625</v>
      </c>
      <c r="Z239" s="2">
        <v>1890.80004882812</v>
      </c>
      <c r="AA239" s="2">
        <v>1958.05004882812</v>
      </c>
      <c r="AB239" s="2">
        <v>510.95001220703102</v>
      </c>
      <c r="AC239" s="2">
        <v>227.89999389648401</v>
      </c>
      <c r="AD239" s="2">
        <v>114.25</v>
      </c>
      <c r="AE239" s="2">
        <v>893.65002441406205</v>
      </c>
      <c r="AG239" s="2">
        <v>18826</v>
      </c>
      <c r="AH239" s="2">
        <v>63384.578125</v>
      </c>
      <c r="AI239" s="2">
        <v>32368.740234375</v>
      </c>
    </row>
    <row r="240" spans="1:35" x14ac:dyDescent="0.3">
      <c r="A240" s="1">
        <v>45098</v>
      </c>
      <c r="B240" s="2">
        <v>59.680000305175703</v>
      </c>
      <c r="C240" s="2">
        <v>1335.15002441406</v>
      </c>
      <c r="D240" s="2">
        <v>2403.25</v>
      </c>
      <c r="E240" s="2">
        <v>86.732467651367102</v>
      </c>
      <c r="F240" s="2">
        <v>447.20001220703102</v>
      </c>
      <c r="G240" s="2">
        <v>2187.19995117187</v>
      </c>
      <c r="H240" s="2">
        <v>21.709999084472599</v>
      </c>
      <c r="I240" s="2">
        <v>4018.64990234375</v>
      </c>
      <c r="J240" s="2">
        <v>97.690002441406193</v>
      </c>
      <c r="K240" s="2">
        <v>233.30000305175699</v>
      </c>
      <c r="L240" s="2">
        <v>159.61999511718699</v>
      </c>
      <c r="M240" s="2">
        <v>6357.4501953125</v>
      </c>
      <c r="N240" s="2">
        <v>1001.54998779296</v>
      </c>
      <c r="O240" s="2">
        <v>68.019996643066406</v>
      </c>
      <c r="P240" s="2">
        <v>122.150001525878</v>
      </c>
      <c r="Q240" s="2">
        <v>225.600006103515</v>
      </c>
      <c r="R240" s="2">
        <v>257.20001220703102</v>
      </c>
      <c r="S240" s="2">
        <v>19.420000076293899</v>
      </c>
      <c r="T240" s="2">
        <v>507.75</v>
      </c>
      <c r="U240" s="2">
        <v>81.944999694824205</v>
      </c>
      <c r="V240" s="2">
        <v>1107.59997558593</v>
      </c>
      <c r="W240" s="2">
        <v>471.45001220703102</v>
      </c>
      <c r="X240" s="2">
        <v>484.39999389648398</v>
      </c>
      <c r="Y240" s="2">
        <v>2099.55004882812</v>
      </c>
      <c r="Z240" s="2">
        <v>1921.34997558593</v>
      </c>
      <c r="AA240" s="2">
        <v>1959.5</v>
      </c>
      <c r="AB240" s="2">
        <v>527.34997558593705</v>
      </c>
      <c r="AC240" s="2">
        <v>241.44999694824199</v>
      </c>
      <c r="AD240" s="2">
        <v>114.09999847412099</v>
      </c>
      <c r="AE240" s="2">
        <v>901.95001220703102</v>
      </c>
      <c r="AG240" s="2">
        <v>18755.44921875</v>
      </c>
      <c r="AH240" s="2">
        <v>63168.30078125</v>
      </c>
      <c r="AI240" s="2">
        <v>32497.759765625</v>
      </c>
    </row>
    <row r="241" spans="1:35" x14ac:dyDescent="0.3">
      <c r="A241" s="1">
        <v>45099</v>
      </c>
      <c r="B241" s="2">
        <v>58.540000915527301</v>
      </c>
      <c r="C241" s="2">
        <v>1390.90002441406</v>
      </c>
      <c r="D241" s="2">
        <v>2340.05004882812</v>
      </c>
      <c r="E241" s="2">
        <v>86.132469177246094</v>
      </c>
      <c r="F241" s="2">
        <v>447.14999389648398</v>
      </c>
      <c r="G241" s="2">
        <v>2173.94995117187</v>
      </c>
      <c r="H241" s="2">
        <v>21.600000381469702</v>
      </c>
      <c r="I241" s="2">
        <v>4037.89990234375</v>
      </c>
      <c r="J241" s="2">
        <v>97.440002441406193</v>
      </c>
      <c r="K241" s="2">
        <v>227.44999694824199</v>
      </c>
      <c r="L241" s="2">
        <v>159.17999267578099</v>
      </c>
      <c r="M241" s="2">
        <v>6366.89990234375</v>
      </c>
      <c r="N241" s="2">
        <v>986.59997558593705</v>
      </c>
      <c r="O241" s="2">
        <v>67.440002441406193</v>
      </c>
      <c r="P241" s="2">
        <v>122.175003051757</v>
      </c>
      <c r="Q241" s="2">
        <v>222.64999389648401</v>
      </c>
      <c r="R241" s="2">
        <v>257.44000244140602</v>
      </c>
      <c r="S241" s="2">
        <v>19.2000007629394</v>
      </c>
      <c r="T241" s="2">
        <v>516.54998779296795</v>
      </c>
      <c r="U241" s="2">
        <v>82.805000305175696</v>
      </c>
      <c r="V241" s="2">
        <v>1124.80004882812</v>
      </c>
      <c r="W241" s="2">
        <v>452.20001220703102</v>
      </c>
      <c r="X241" s="2">
        <v>485.70001220703102</v>
      </c>
      <c r="Y241" s="2">
        <v>2097.14990234375</v>
      </c>
      <c r="Z241" s="2">
        <v>1874.90002441406</v>
      </c>
      <c r="AA241" s="2">
        <v>1986.80004882812</v>
      </c>
      <c r="AB241" s="2">
        <v>521.54998779296795</v>
      </c>
      <c r="AC241" s="2">
        <v>233.5</v>
      </c>
      <c r="AD241" s="2">
        <v>114.25</v>
      </c>
      <c r="AE241" s="2">
        <v>896.34997558593705</v>
      </c>
      <c r="AG241" s="2">
        <v>18816.69921875</v>
      </c>
      <c r="AH241" s="2">
        <v>63327.69921875</v>
      </c>
      <c r="AI241" s="2">
        <v>32577.349609375</v>
      </c>
    </row>
    <row r="242" spans="1:35" x14ac:dyDescent="0.3">
      <c r="A242" s="1">
        <v>45100</v>
      </c>
      <c r="B242" s="2">
        <v>59.680000305175703</v>
      </c>
      <c r="C242" s="2">
        <v>1339.80004882812</v>
      </c>
      <c r="D242" s="2">
        <v>2289.30004882812</v>
      </c>
      <c r="E242" s="2">
        <v>85.999137878417898</v>
      </c>
      <c r="F242" s="2">
        <v>440.600006103515</v>
      </c>
      <c r="G242" s="2">
        <v>2156.60009765625</v>
      </c>
      <c r="H242" s="2">
        <v>21.674999237060501</v>
      </c>
      <c r="I242" s="2">
        <v>4069.64990234375</v>
      </c>
      <c r="J242" s="2">
        <v>99.099998474121094</v>
      </c>
      <c r="K242" s="2">
        <v>226.89999389648401</v>
      </c>
      <c r="L242" s="2">
        <v>161.94999694824199</v>
      </c>
      <c r="M242" s="2">
        <v>6385.89990234375</v>
      </c>
      <c r="N242" s="2">
        <v>967.70001220703102</v>
      </c>
      <c r="O242" s="2">
        <v>66.660003662109304</v>
      </c>
      <c r="P242" s="2">
        <v>122</v>
      </c>
      <c r="Q242" s="2">
        <v>214.350006103515</v>
      </c>
      <c r="R242" s="2">
        <v>258.10998535156199</v>
      </c>
      <c r="S242" s="2">
        <v>18.7299995422363</v>
      </c>
      <c r="T242" s="2">
        <v>507.225006103515</v>
      </c>
      <c r="U242" s="2">
        <v>82.625</v>
      </c>
      <c r="V242" s="2">
        <v>1119.25</v>
      </c>
      <c r="W242" s="2">
        <v>450.64999389648398</v>
      </c>
      <c r="X242" s="2">
        <v>486.850006103515</v>
      </c>
      <c r="Y242" s="2">
        <v>2061.64990234375</v>
      </c>
      <c r="Z242" s="2">
        <v>1844.55004882812</v>
      </c>
      <c r="AA242" s="2">
        <v>1970.90002441406</v>
      </c>
      <c r="AB242" s="2">
        <v>492.89999389648398</v>
      </c>
      <c r="AC242" s="2">
        <v>220.14999389648401</v>
      </c>
      <c r="AD242" s="2">
        <v>113.900001525878</v>
      </c>
      <c r="AE242" s="2">
        <v>879.04998779296795</v>
      </c>
      <c r="AG242" s="2">
        <v>18856.849609375</v>
      </c>
      <c r="AH242" s="2">
        <v>63523.1484375</v>
      </c>
      <c r="AI242" s="2">
        <v>32369.66015625</v>
      </c>
    </row>
    <row r="243" spans="1:35" x14ac:dyDescent="0.3">
      <c r="A243" s="1">
        <v>45103</v>
      </c>
      <c r="B243" s="2">
        <v>60.939998626708899</v>
      </c>
      <c r="C243" s="2">
        <v>1309.19995117187</v>
      </c>
      <c r="D243" s="2">
        <v>2251.75</v>
      </c>
      <c r="E243" s="2">
        <v>84.932479858398395</v>
      </c>
      <c r="F243" s="2">
        <v>439.600006103515</v>
      </c>
      <c r="G243" s="2">
        <v>2152</v>
      </c>
      <c r="H243" s="2">
        <v>21.5100002288818</v>
      </c>
      <c r="I243" s="2">
        <v>4047.44995117187</v>
      </c>
      <c r="J243" s="2">
        <v>95.839996337890597</v>
      </c>
      <c r="K243" s="2">
        <v>231.05000305175699</v>
      </c>
      <c r="L243" s="2">
        <v>159.52999877929599</v>
      </c>
      <c r="M243" s="2">
        <v>6377.60009765625</v>
      </c>
      <c r="N243" s="2">
        <v>968.65002441406205</v>
      </c>
      <c r="O243" s="2">
        <v>66.309997558593693</v>
      </c>
      <c r="P243" s="2">
        <v>119.324996948242</v>
      </c>
      <c r="Q243" s="2">
        <v>225.05000305175699</v>
      </c>
      <c r="R243" s="2">
        <v>257.45999145507801</v>
      </c>
      <c r="S243" s="2">
        <v>18.809999465942301</v>
      </c>
      <c r="T243" s="2">
        <v>498.57501220703102</v>
      </c>
      <c r="U243" s="2">
        <v>81.370002746582003</v>
      </c>
      <c r="V243" s="2">
        <v>1093.09997558593</v>
      </c>
      <c r="W243" s="2">
        <v>459.600006103515</v>
      </c>
      <c r="X243" s="2">
        <v>488.20001220703102</v>
      </c>
      <c r="Y243" s="2">
        <v>2082.44995117187</v>
      </c>
      <c r="Z243" s="2">
        <v>1830.25</v>
      </c>
      <c r="AA243" s="2">
        <v>1938.5</v>
      </c>
      <c r="AB243" s="2">
        <v>499.600006103515</v>
      </c>
      <c r="AC243" s="2">
        <v>236.94999694824199</v>
      </c>
      <c r="AD243" s="2">
        <v>111.09999847412099</v>
      </c>
      <c r="AE243" s="2">
        <v>869.29998779296795</v>
      </c>
      <c r="AG243" s="2">
        <v>18771.25</v>
      </c>
      <c r="AH243" s="2">
        <v>63238.890625</v>
      </c>
      <c r="AI243" s="2">
        <v>31991.1796875</v>
      </c>
    </row>
    <row r="244" spans="1:35" x14ac:dyDescent="0.3">
      <c r="A244" s="1">
        <v>45104</v>
      </c>
      <c r="B244" s="2">
        <v>60.810001373291001</v>
      </c>
      <c r="C244" s="2">
        <v>1339.05004882812</v>
      </c>
      <c r="D244" s="2">
        <v>2321.10009765625</v>
      </c>
      <c r="E244" s="2">
        <v>86.265800476074205</v>
      </c>
      <c r="F244" s="2">
        <v>442.64999389648398</v>
      </c>
      <c r="G244" s="2">
        <v>2136.35009765625</v>
      </c>
      <c r="H244" s="2">
        <v>21.059999465942301</v>
      </c>
      <c r="I244" s="2">
        <v>3964.85009765625</v>
      </c>
      <c r="J244" s="2">
        <v>94.349998474121094</v>
      </c>
      <c r="K244" s="2">
        <v>230.64999389648401</v>
      </c>
      <c r="L244" s="2">
        <v>158.509994506835</v>
      </c>
      <c r="M244" s="2">
        <v>6369.75</v>
      </c>
      <c r="N244" s="2">
        <v>980.29998779296795</v>
      </c>
      <c r="O244" s="2">
        <v>66.599998474121094</v>
      </c>
      <c r="P244" s="2">
        <v>117.275001525878</v>
      </c>
      <c r="Q244" s="2">
        <v>231.600006103515</v>
      </c>
      <c r="R244" s="2">
        <v>255.42999267578099</v>
      </c>
      <c r="S244" s="2">
        <v>18.870000839233398</v>
      </c>
      <c r="T244" s="2">
        <v>487.625</v>
      </c>
      <c r="U244" s="2">
        <v>80.080001831054602</v>
      </c>
      <c r="V244" s="2">
        <v>1108.94995117187</v>
      </c>
      <c r="W244" s="2">
        <v>448.64999389648398</v>
      </c>
      <c r="X244" s="2">
        <v>486.95001220703102</v>
      </c>
      <c r="Y244" s="2">
        <v>2091.94995117187</v>
      </c>
      <c r="Z244" s="2">
        <v>1781.59997558593</v>
      </c>
      <c r="AA244" s="2">
        <v>1911.94995117187</v>
      </c>
      <c r="AB244" s="2">
        <v>516.75</v>
      </c>
      <c r="AC244" s="2">
        <v>249.64999389648401</v>
      </c>
      <c r="AD244" s="2">
        <v>109.59999847412099</v>
      </c>
      <c r="AE244" s="2">
        <v>870.45001220703102</v>
      </c>
      <c r="AG244" s="2">
        <v>18665.5</v>
      </c>
      <c r="AH244" s="2">
        <v>62979.37109375</v>
      </c>
      <c r="AI244" s="2">
        <v>32216.890625</v>
      </c>
    </row>
    <row r="245" spans="1:35" x14ac:dyDescent="0.3">
      <c r="A245" s="1">
        <v>45105</v>
      </c>
      <c r="B245" s="2">
        <v>60.470001220703097</v>
      </c>
      <c r="C245" s="2">
        <v>1320.09997558593</v>
      </c>
      <c r="D245" s="2">
        <v>2331.39990234375</v>
      </c>
      <c r="E245" s="2">
        <v>87.299125671386705</v>
      </c>
      <c r="F245" s="2">
        <v>443.29998779296801</v>
      </c>
      <c r="G245" s="2">
        <v>2159.35009765625</v>
      </c>
      <c r="H245" s="2">
        <v>20.795000076293899</v>
      </c>
      <c r="I245" s="2">
        <v>3949.94995117187</v>
      </c>
      <c r="J245" s="2">
        <v>96.870002746582003</v>
      </c>
      <c r="K245" s="2">
        <v>234.94999694824199</v>
      </c>
      <c r="L245" s="2">
        <v>158.419998168945</v>
      </c>
      <c r="M245" s="2">
        <v>6385.5498046875</v>
      </c>
      <c r="N245" s="2">
        <v>977.09997558593705</v>
      </c>
      <c r="O245" s="2">
        <v>66.199996948242102</v>
      </c>
      <c r="P245" s="2">
        <v>117.375</v>
      </c>
      <c r="Q245" s="2">
        <v>230.850006103515</v>
      </c>
      <c r="R245" s="2">
        <v>261.08999633789</v>
      </c>
      <c r="S245" s="2">
        <v>18.75</v>
      </c>
      <c r="T245" s="2">
        <v>496.350006103515</v>
      </c>
      <c r="U245" s="2">
        <v>79.839996337890597</v>
      </c>
      <c r="V245" s="2">
        <v>1100.30004882812</v>
      </c>
      <c r="W245" s="2">
        <v>441.25</v>
      </c>
      <c r="X245" s="2">
        <v>488.89999389648398</v>
      </c>
      <c r="Y245" s="2">
        <v>2097.55004882812</v>
      </c>
      <c r="Z245" s="2">
        <v>1794.90002441406</v>
      </c>
      <c r="AA245" s="2">
        <v>1912.5</v>
      </c>
      <c r="AB245" s="2">
        <v>522.04998779296795</v>
      </c>
      <c r="AC245" s="2">
        <v>263.79998779296801</v>
      </c>
      <c r="AD245" s="2">
        <v>109.84999847412099</v>
      </c>
      <c r="AE245" s="2">
        <v>899.20001220703102</v>
      </c>
      <c r="AG245" s="2">
        <v>18691.19921875</v>
      </c>
      <c r="AH245" s="2">
        <v>62970</v>
      </c>
      <c r="AI245" s="2">
        <v>32412.560546875</v>
      </c>
    </row>
    <row r="246" spans="1:35" x14ac:dyDescent="0.3">
      <c r="B246" s="2"/>
      <c r="D246" s="2"/>
      <c r="E246" s="2">
        <v>88.765777587890597</v>
      </c>
      <c r="F246" s="2"/>
      <c r="G246" s="2"/>
      <c r="H246" s="2">
        <v>20.9799995422363</v>
      </c>
      <c r="I246" s="2"/>
      <c r="J246" s="2">
        <v>98.569999694824205</v>
      </c>
      <c r="K246" s="2"/>
      <c r="L246" s="2">
        <v>158.32000732421801</v>
      </c>
      <c r="M246" s="2">
        <v>6368.89990234375</v>
      </c>
      <c r="N246" s="2"/>
      <c r="O246" s="2"/>
      <c r="P246" s="2">
        <v>122.074996948242</v>
      </c>
      <c r="Q246" s="2"/>
      <c r="R246" s="2">
        <v>257.64001464843699</v>
      </c>
      <c r="S246" s="2"/>
      <c r="T246" s="2">
        <v>501.725006103515</v>
      </c>
      <c r="U246" s="2">
        <v>85.595001220703097</v>
      </c>
      <c r="V246" s="2"/>
      <c r="W246" s="2"/>
      <c r="X246" s="2"/>
      <c r="Y246" s="2"/>
      <c r="Z246" s="2">
        <v>1763.84997558593</v>
      </c>
      <c r="AA246" s="2">
        <v>1930.19995117187</v>
      </c>
      <c r="AB246" s="2"/>
      <c r="AC246" s="2"/>
      <c r="AD246" s="2">
        <v>110.75</v>
      </c>
      <c r="AE246" s="2"/>
      <c r="AG246" s="2">
        <v>18817.400390625</v>
      </c>
      <c r="AH246" s="2">
        <v>63416.03125</v>
      </c>
      <c r="AI246" s="2">
        <v>32437.880859375</v>
      </c>
    </row>
    <row r="247" spans="1:35" x14ac:dyDescent="0.3">
      <c r="B247" s="2"/>
      <c r="D247" s="2"/>
      <c r="E247" s="2">
        <v>89.632438659667898</v>
      </c>
      <c r="F247" s="2"/>
      <c r="G247" s="2"/>
      <c r="H247" s="2">
        <v>20.985000610351499</v>
      </c>
      <c r="I247" s="2"/>
      <c r="J247" s="2">
        <v>100.26999664306599</v>
      </c>
      <c r="K247" s="2"/>
      <c r="L247" s="2">
        <v>158.05000305175699</v>
      </c>
      <c r="M247" s="2">
        <v>6386.2998046875</v>
      </c>
      <c r="N247" s="2"/>
      <c r="O247" s="2"/>
      <c r="P247" s="2">
        <v>122.949996948242</v>
      </c>
      <c r="Q247" s="2"/>
      <c r="R247" s="2">
        <v>259.86999511718699</v>
      </c>
      <c r="S247" s="2"/>
      <c r="T247" s="2">
        <v>505.875</v>
      </c>
      <c r="U247" s="2">
        <v>85.525001525878906</v>
      </c>
      <c r="V247" s="2"/>
      <c r="W247" s="2"/>
      <c r="X247" s="2"/>
      <c r="Y247" s="2"/>
      <c r="Z247" s="2">
        <v>1768.69995117187</v>
      </c>
      <c r="AA247" s="2">
        <v>1938.25</v>
      </c>
      <c r="AB247" s="2"/>
      <c r="AC247" s="2"/>
      <c r="AD247" s="2">
        <v>111.550003051757</v>
      </c>
      <c r="AE247" s="2"/>
      <c r="AG247" s="2">
        <v>18972.099609375</v>
      </c>
      <c r="AH247" s="2">
        <v>63915.421875</v>
      </c>
      <c r="AI247" s="2"/>
    </row>
    <row r="248" spans="1:35" x14ac:dyDescent="0.3">
      <c r="A248" s="22" t="s">
        <v>47</v>
      </c>
      <c r="B248" cm="1">
        <f t="array" ref="B248:AE248">TRANSPOSE(B269:B298)</f>
        <v>85000000</v>
      </c>
      <c r="C248">
        <v>277524992</v>
      </c>
      <c r="D248">
        <v>32401000</v>
      </c>
      <c r="E248">
        <v>248858000</v>
      </c>
      <c r="F248">
        <v>158110000</v>
      </c>
      <c r="G248">
        <v>49365800</v>
      </c>
      <c r="H248">
        <v>3544079872</v>
      </c>
      <c r="I248">
        <v>15393000</v>
      </c>
      <c r="J248">
        <v>646475008</v>
      </c>
      <c r="K248">
        <v>100278000</v>
      </c>
      <c r="L248">
        <v>10910000</v>
      </c>
      <c r="M248">
        <v>5300000</v>
      </c>
      <c r="N248">
        <v>29111600</v>
      </c>
      <c r="O248">
        <v>171999008</v>
      </c>
      <c r="P248">
        <v>78460896</v>
      </c>
      <c r="Q248">
        <v>64471300</v>
      </c>
      <c r="R248">
        <v>12262200</v>
      </c>
      <c r="S248">
        <v>218220000</v>
      </c>
      <c r="T248">
        <v>212172992</v>
      </c>
      <c r="U248">
        <v>277612000</v>
      </c>
      <c r="V248">
        <v>127072000</v>
      </c>
      <c r="W248">
        <v>17585600</v>
      </c>
      <c r="X248">
        <v>18770000</v>
      </c>
      <c r="Y248">
        <v>254564992</v>
      </c>
      <c r="Z248">
        <v>12147300</v>
      </c>
      <c r="AA248">
        <v>3100000</v>
      </c>
      <c r="AB248">
        <v>9960000</v>
      </c>
      <c r="AC248">
        <v>52991400</v>
      </c>
      <c r="AD248">
        <v>12471799808</v>
      </c>
      <c r="AE248">
        <v>12810000</v>
      </c>
    </row>
    <row r="249" spans="1:35" x14ac:dyDescent="0.3">
      <c r="A249" s="22" t="s">
        <v>31</v>
      </c>
      <c r="B249" s="11">
        <f>SUM(B2:B247)/242</f>
        <v>74.643098988808859</v>
      </c>
      <c r="C249">
        <f t="shared" ref="C249:AE249" si="0">SUM(C2:C247)/242</f>
        <v>1130.4097133667988</v>
      </c>
      <c r="D249">
        <f t="shared" si="0"/>
        <v>2750.5010381020784</v>
      </c>
      <c r="E249">
        <f t="shared" si="0"/>
        <v>77.950100812044994</v>
      </c>
      <c r="F249">
        <f t="shared" si="0"/>
        <v>431.28491765802551</v>
      </c>
      <c r="G249">
        <f t="shared" si="0"/>
        <v>2303.1925618825867</v>
      </c>
      <c r="H249">
        <f t="shared" si="0"/>
        <v>25.157228824520892</v>
      </c>
      <c r="I249">
        <f t="shared" si="0"/>
        <v>3681.9712842200415</v>
      </c>
      <c r="J249">
        <f t="shared" si="0"/>
        <v>68.73743794969289</v>
      </c>
      <c r="K249">
        <f t="shared" si="0"/>
        <v>213.97024782038909</v>
      </c>
      <c r="L249">
        <f t="shared" si="0"/>
        <v>138.80165308172033</v>
      </c>
      <c r="M249">
        <f t="shared" si="0"/>
        <v>6147.6898788578255</v>
      </c>
      <c r="N249">
        <f t="shared" si="0"/>
        <v>966.05681717297193</v>
      </c>
      <c r="O249">
        <f t="shared" si="0"/>
        <v>82.311198337018936</v>
      </c>
      <c r="P249">
        <f t="shared" si="0"/>
        <v>146.02107449996564</v>
      </c>
      <c r="Q249">
        <f t="shared" si="0"/>
        <v>286.81012467313394</v>
      </c>
      <c r="R249">
        <f t="shared" si="0"/>
        <v>246.37871917220178</v>
      </c>
      <c r="S249">
        <f t="shared" si="0"/>
        <v>20.675413159299481</v>
      </c>
      <c r="T249">
        <f t="shared" si="0"/>
        <v>338.02866722926615</v>
      </c>
      <c r="U249">
        <f t="shared" si="0"/>
        <v>77.296094957462032</v>
      </c>
      <c r="V249">
        <f t="shared" si="0"/>
        <v>846.8086774841812</v>
      </c>
      <c r="W249">
        <f t="shared" si="0"/>
        <v>392.15454568153564</v>
      </c>
      <c r="X249">
        <f t="shared" si="0"/>
        <v>470.4805787141658</v>
      </c>
      <c r="Y249">
        <f t="shared" si="0"/>
        <v>1657.5704517206859</v>
      </c>
      <c r="Z249">
        <f t="shared" si="0"/>
        <v>1706.5074407404106</v>
      </c>
      <c r="AA249">
        <f t="shared" si="0"/>
        <v>1074.0489658324179</v>
      </c>
      <c r="AB249">
        <f t="shared" si="0"/>
        <v>572.16735537190073</v>
      </c>
      <c r="AC249">
        <f t="shared" si="0"/>
        <v>172.4903719563128</v>
      </c>
      <c r="AD249">
        <f t="shared" si="0"/>
        <v>108.81188009593104</v>
      </c>
      <c r="AE249">
        <f t="shared" si="0"/>
        <v>1071.1570270632892</v>
      </c>
      <c r="AF249" t="s">
        <v>35</v>
      </c>
      <c r="AG249">
        <f>SUM(AG2:AG247)/242</f>
        <v>18063.491731501806</v>
      </c>
      <c r="AH249">
        <f>SUM(AH2:AH247)/242</f>
        <v>60897.960646952481</v>
      </c>
      <c r="AI249">
        <f>SUM(AI2:AI247)/242</f>
        <v>28998.83137751808</v>
      </c>
    </row>
    <row r="250" spans="1:35" x14ac:dyDescent="0.3">
      <c r="A250" s="22" t="s">
        <v>36</v>
      </c>
      <c r="B250" s="11">
        <v>18063.5</v>
      </c>
    </row>
    <row r="251" spans="1:35" x14ac:dyDescent="0.3">
      <c r="A251" s="22" t="s">
        <v>37</v>
      </c>
      <c r="B251" s="11">
        <v>60898</v>
      </c>
      <c r="C251" s="10" t="s">
        <v>39</v>
      </c>
      <c r="D251" s="10">
        <f>SUM(B249:AE249)</f>
        <v>27280.084565426681</v>
      </c>
    </row>
    <row r="252" spans="1:35" x14ac:dyDescent="0.3">
      <c r="A252" s="22" t="s">
        <v>38</v>
      </c>
      <c r="B252" s="11">
        <v>28998.799999999999</v>
      </c>
    </row>
    <row r="253" spans="1:35" x14ac:dyDescent="0.3">
      <c r="A253" s="22" t="s">
        <v>31</v>
      </c>
      <c r="B253" s="11">
        <v>27280.084569999999</v>
      </c>
    </row>
    <row r="254" spans="1:35" x14ac:dyDescent="0.3">
      <c r="B254" t="s">
        <v>2</v>
      </c>
      <c r="C254" t="s">
        <v>1</v>
      </c>
      <c r="D254" t="s">
        <v>3</v>
      </c>
      <c r="E254" t="s">
        <v>4</v>
      </c>
      <c r="F254" t="s">
        <v>5</v>
      </c>
      <c r="G254" t="s">
        <v>6</v>
      </c>
      <c r="H254" t="s">
        <v>7</v>
      </c>
      <c r="I254" t="s">
        <v>8</v>
      </c>
      <c r="J254" t="s">
        <v>9</v>
      </c>
      <c r="K254" t="s">
        <v>10</v>
      </c>
      <c r="L254" t="s">
        <v>11</v>
      </c>
      <c r="M254" t="s">
        <v>12</v>
      </c>
      <c r="N254" t="s">
        <v>13</v>
      </c>
      <c r="O254" t="s">
        <v>14</v>
      </c>
      <c r="P254" t="s">
        <v>15</v>
      </c>
      <c r="Q254" t="s">
        <v>16</v>
      </c>
      <c r="R254" t="s">
        <v>17</v>
      </c>
      <c r="S254" t="s">
        <v>18</v>
      </c>
      <c r="T254" t="s">
        <v>19</v>
      </c>
      <c r="U254" t="s">
        <v>20</v>
      </c>
      <c r="V254" t="s">
        <v>21</v>
      </c>
      <c r="W254" t="s">
        <v>22</v>
      </c>
      <c r="X254" t="s">
        <v>23</v>
      </c>
      <c r="Y254" t="s">
        <v>24</v>
      </c>
      <c r="Z254" t="s">
        <v>25</v>
      </c>
      <c r="AA254" t="s">
        <v>27</v>
      </c>
      <c r="AB254" t="s">
        <v>26</v>
      </c>
      <c r="AC254" t="s">
        <v>28</v>
      </c>
      <c r="AD254" t="s">
        <v>29</v>
      </c>
    </row>
    <row r="255" spans="1:35" x14ac:dyDescent="0.3">
      <c r="A255" s="41" t="s">
        <v>40</v>
      </c>
      <c r="B255" s="9">
        <f>B245*B248</f>
        <v>5139950103.7597628</v>
      </c>
      <c r="C255" s="9">
        <f>C245*C248</f>
        <v>366360735163.68542</v>
      </c>
      <c r="D255" s="9">
        <f t="shared" ref="D255:AC255" si="1">D245*D248</f>
        <v>75539688235.839844</v>
      </c>
      <c r="E255" s="9">
        <f t="shared" si="1"/>
        <v>21725085816.329952</v>
      </c>
      <c r="F255" s="9">
        <f t="shared" si="1"/>
        <v>70090161069.946167</v>
      </c>
      <c r="G255" s="9">
        <f t="shared" si="1"/>
        <v>106598045050.87891</v>
      </c>
      <c r="H255" s="9">
        <f t="shared" si="1"/>
        <v>73699141208.631668</v>
      </c>
      <c r="I255" s="9">
        <f t="shared" si="1"/>
        <v>60801579598.388596</v>
      </c>
      <c r="J255" s="9">
        <f t="shared" si="1"/>
        <v>62624035800.556625</v>
      </c>
      <c r="K255" s="9">
        <f t="shared" si="1"/>
        <v>23560315793.975811</v>
      </c>
      <c r="L255" s="9">
        <f t="shared" si="1"/>
        <v>1728362180.02319</v>
      </c>
      <c r="M255" s="9">
        <f t="shared" si="1"/>
        <v>33843413964.84375</v>
      </c>
      <c r="N255" s="9">
        <f t="shared" si="1"/>
        <v>28444943649.267567</v>
      </c>
      <c r="O255" s="9">
        <f t="shared" si="1"/>
        <v>11386333804.700668</v>
      </c>
      <c r="P255" s="9">
        <f t="shared" si="1"/>
        <v>9209347668</v>
      </c>
      <c r="Q255" s="9">
        <f t="shared" si="1"/>
        <v>14883199998.501547</v>
      </c>
      <c r="R255" s="9">
        <f t="shared" si="1"/>
        <v>3201537753.0944748</v>
      </c>
      <c r="S255" s="9">
        <f t="shared" si="1"/>
        <v>4091625000</v>
      </c>
      <c r="T255" s="9">
        <f t="shared" si="1"/>
        <v>105312065874.20103</v>
      </c>
      <c r="U255" s="9">
        <f t="shared" si="1"/>
        <v>22164541063.354485</v>
      </c>
      <c r="V255" s="9">
        <f t="shared" si="1"/>
        <v>139817327804.68686</v>
      </c>
      <c r="W255" s="9">
        <f t="shared" si="1"/>
        <v>7759646000</v>
      </c>
      <c r="X255" s="9">
        <f t="shared" si="1"/>
        <v>9176652885.4370041</v>
      </c>
      <c r="Y255" s="9">
        <f t="shared" si="1"/>
        <v>533962811399.52997</v>
      </c>
      <c r="Z255" s="9">
        <f t="shared" si="1"/>
        <v>21803189066.564911</v>
      </c>
      <c r="AA255" s="9">
        <f t="shared" si="1"/>
        <v>5928750000</v>
      </c>
      <c r="AB255" s="9">
        <f t="shared" si="1"/>
        <v>5199617878.4179611</v>
      </c>
      <c r="AC255" s="9">
        <f t="shared" si="1"/>
        <v>13979130673.132284</v>
      </c>
      <c r="AD255" s="9">
        <f>AD248*AD247</f>
        <v>1391229306643.3025</v>
      </c>
      <c r="AE255" s="9"/>
    </row>
    <row r="256" spans="1:35" x14ac:dyDescent="0.3">
      <c r="A256" s="22" t="s">
        <v>42</v>
      </c>
      <c r="B256">
        <f>B245-B2/B2 *100</f>
        <v>-39.529998779296903</v>
      </c>
      <c r="C256">
        <f t="shared" ref="C256:AE256" si="2">C245-C2/C2 *100</f>
        <v>1220.09997558593</v>
      </c>
      <c r="D256">
        <f t="shared" si="2"/>
        <v>2231.39990234375</v>
      </c>
      <c r="E256">
        <f t="shared" si="2"/>
        <v>-12.700874328613295</v>
      </c>
      <c r="F256">
        <f t="shared" si="2"/>
        <v>343.29998779296801</v>
      </c>
      <c r="G256">
        <f t="shared" si="2"/>
        <v>2059.35009765625</v>
      </c>
      <c r="H256">
        <f t="shared" si="2"/>
        <v>-79.204999923706097</v>
      </c>
      <c r="I256">
        <f t="shared" si="2"/>
        <v>3849.94995117187</v>
      </c>
      <c r="J256">
        <f t="shared" si="2"/>
        <v>-3.1299972534179972</v>
      </c>
      <c r="K256">
        <f t="shared" si="2"/>
        <v>134.94999694824199</v>
      </c>
      <c r="L256">
        <f t="shared" si="2"/>
        <v>58.419998168945</v>
      </c>
      <c r="M256">
        <f t="shared" si="2"/>
        <v>6285.5498046875</v>
      </c>
      <c r="N256">
        <f t="shared" si="2"/>
        <v>877.09997558593705</v>
      </c>
      <c r="O256">
        <f t="shared" si="2"/>
        <v>-33.800003051757898</v>
      </c>
      <c r="P256">
        <f t="shared" si="2"/>
        <v>17.375</v>
      </c>
      <c r="Q256">
        <f t="shared" si="2"/>
        <v>130.850006103515</v>
      </c>
      <c r="R256">
        <f t="shared" si="2"/>
        <v>161.08999633789</v>
      </c>
      <c r="S256">
        <f t="shared" si="2"/>
        <v>-81.25</v>
      </c>
      <c r="T256">
        <f t="shared" si="2"/>
        <v>396.350006103515</v>
      </c>
      <c r="U256">
        <f t="shared" si="2"/>
        <v>-20.160003662109403</v>
      </c>
      <c r="V256">
        <f t="shared" si="2"/>
        <v>1000.30004882812</v>
      </c>
      <c r="W256">
        <f t="shared" si="2"/>
        <v>341.25</v>
      </c>
      <c r="X256">
        <f t="shared" si="2"/>
        <v>388.89999389648398</v>
      </c>
      <c r="Y256">
        <f t="shared" si="2"/>
        <v>1997.55004882812</v>
      </c>
      <c r="Z256">
        <f t="shared" si="2"/>
        <v>1694.90002441406</v>
      </c>
      <c r="AA256">
        <f t="shared" si="2"/>
        <v>1812.5</v>
      </c>
      <c r="AB256">
        <f t="shared" si="2"/>
        <v>422.04998779296795</v>
      </c>
      <c r="AC256">
        <f t="shared" si="2"/>
        <v>163.79998779296801</v>
      </c>
      <c r="AD256">
        <f t="shared" si="2"/>
        <v>9.8499984741209943</v>
      </c>
      <c r="AE256">
        <f t="shared" si="2"/>
        <v>799.20001220703102</v>
      </c>
    </row>
    <row r="257" spans="1:33" x14ac:dyDescent="0.3">
      <c r="A257" s="22" t="s">
        <v>41</v>
      </c>
      <c r="B257" t="str">
        <f>IF(B256&lt;0, "Negative", "Positive")</f>
        <v>Negative</v>
      </c>
      <c r="C257" t="str">
        <f t="shared" ref="C257:AE257" si="3">IF(C256&lt;0, "Negative", "Positive")</f>
        <v>Positive</v>
      </c>
      <c r="D257" t="str">
        <f t="shared" si="3"/>
        <v>Positive</v>
      </c>
      <c r="E257" t="str">
        <f t="shared" si="3"/>
        <v>Negative</v>
      </c>
      <c r="F257" t="str">
        <f t="shared" si="3"/>
        <v>Positive</v>
      </c>
      <c r="G257" t="str">
        <f t="shared" si="3"/>
        <v>Positive</v>
      </c>
      <c r="H257" t="str">
        <f t="shared" si="3"/>
        <v>Negative</v>
      </c>
      <c r="I257" t="str">
        <f t="shared" si="3"/>
        <v>Positive</v>
      </c>
      <c r="J257" t="str">
        <f t="shared" si="3"/>
        <v>Negative</v>
      </c>
      <c r="K257" t="str">
        <f t="shared" si="3"/>
        <v>Positive</v>
      </c>
      <c r="L257" t="str">
        <f t="shared" si="3"/>
        <v>Positive</v>
      </c>
      <c r="M257" t="str">
        <f t="shared" si="3"/>
        <v>Positive</v>
      </c>
      <c r="N257" t="str">
        <f t="shared" si="3"/>
        <v>Positive</v>
      </c>
      <c r="O257" t="str">
        <f t="shared" si="3"/>
        <v>Negative</v>
      </c>
      <c r="P257" t="str">
        <f t="shared" si="3"/>
        <v>Positive</v>
      </c>
      <c r="Q257" t="str">
        <f t="shared" si="3"/>
        <v>Positive</v>
      </c>
      <c r="R257" t="str">
        <f t="shared" si="3"/>
        <v>Positive</v>
      </c>
      <c r="S257" t="str">
        <f t="shared" si="3"/>
        <v>Negative</v>
      </c>
      <c r="T257" t="str">
        <f t="shared" si="3"/>
        <v>Positive</v>
      </c>
      <c r="U257" t="str">
        <f t="shared" si="3"/>
        <v>Negative</v>
      </c>
      <c r="V257" t="str">
        <f t="shared" si="3"/>
        <v>Positive</v>
      </c>
      <c r="W257" t="str">
        <f t="shared" si="3"/>
        <v>Positive</v>
      </c>
      <c r="X257" t="str">
        <f t="shared" si="3"/>
        <v>Positive</v>
      </c>
      <c r="Y257" t="str">
        <f t="shared" si="3"/>
        <v>Positive</v>
      </c>
      <c r="Z257" t="str">
        <f t="shared" si="3"/>
        <v>Positive</v>
      </c>
      <c r="AA257" t="str">
        <f t="shared" si="3"/>
        <v>Positive</v>
      </c>
      <c r="AB257" t="str">
        <f t="shared" si="3"/>
        <v>Positive</v>
      </c>
      <c r="AC257" t="str">
        <f t="shared" si="3"/>
        <v>Positive</v>
      </c>
      <c r="AD257" t="str">
        <f t="shared" si="3"/>
        <v>Positive</v>
      </c>
      <c r="AE257" t="str">
        <f t="shared" si="3"/>
        <v>Positive</v>
      </c>
    </row>
    <row r="258" spans="1:33" x14ac:dyDescent="0.3">
      <c r="A258" s="22" t="s">
        <v>43</v>
      </c>
      <c r="B258" s="3" t="str">
        <f>IF(B256&lt;0, B1, "--")</f>
        <v>ANDHRAPET.BO</v>
      </c>
      <c r="C258" s="3" t="str">
        <f t="shared" ref="C258:AE258" si="4">IF(C256&lt;0, C1, "--")</f>
        <v>--</v>
      </c>
      <c r="D258" s="3" t="str">
        <f t="shared" si="4"/>
        <v>--</v>
      </c>
      <c r="E258" s="3" t="str">
        <f t="shared" si="4"/>
        <v>BEPL.BO</v>
      </c>
      <c r="F258" s="3" t="str">
        <f t="shared" si="4"/>
        <v>--</v>
      </c>
      <c r="G258" s="3" t="str">
        <f t="shared" si="4"/>
        <v>--</v>
      </c>
      <c r="H258" s="3" t="str">
        <f t="shared" si="4"/>
        <v>EASEMYTRIP.BO</v>
      </c>
      <c r="I258" s="3" t="str">
        <f t="shared" si="4"/>
        <v>--</v>
      </c>
      <c r="J258" s="3" t="str">
        <f t="shared" si="4"/>
        <v>GPIL.BO</v>
      </c>
      <c r="K258" s="3" t="str">
        <f t="shared" si="4"/>
        <v>--</v>
      </c>
      <c r="L258" s="3" t="str">
        <f t="shared" si="4"/>
        <v>--</v>
      </c>
      <c r="M258" s="3" t="str">
        <f t="shared" si="4"/>
        <v>--</v>
      </c>
      <c r="N258" s="3" t="str">
        <f t="shared" si="4"/>
        <v>--</v>
      </c>
      <c r="O258" s="3" t="str">
        <f t="shared" si="4"/>
        <v>MANALIPETC.BO</v>
      </c>
      <c r="P258" s="3" t="str">
        <f t="shared" si="4"/>
        <v>--</v>
      </c>
      <c r="Q258" s="3" t="str">
        <f t="shared" si="4"/>
        <v>--</v>
      </c>
      <c r="R258" s="3" t="str">
        <f t="shared" si="4"/>
        <v>--</v>
      </c>
      <c r="S258" s="3" t="str">
        <f t="shared" si="4"/>
        <v>SHYAMCENT.BO</v>
      </c>
      <c r="T258" s="3" t="str">
        <f t="shared" si="4"/>
        <v>--</v>
      </c>
      <c r="U258" s="3" t="str">
        <f t="shared" si="4"/>
        <v>SPORTKING.BO</v>
      </c>
      <c r="V258" s="3" t="str">
        <f t="shared" si="4"/>
        <v>--</v>
      </c>
      <c r="W258" s="3" t="str">
        <f t="shared" si="4"/>
        <v>--</v>
      </c>
      <c r="X258" s="3" t="str">
        <f t="shared" si="4"/>
        <v>--</v>
      </c>
      <c r="Y258" s="3" t="str">
        <f t="shared" si="4"/>
        <v>--</v>
      </c>
      <c r="Z258" s="3" t="str">
        <f t="shared" si="4"/>
        <v>--</v>
      </c>
      <c r="AA258" s="3" t="str">
        <f t="shared" si="4"/>
        <v>--</v>
      </c>
      <c r="AB258" s="3" t="str">
        <f t="shared" si="4"/>
        <v>--</v>
      </c>
      <c r="AC258" s="3" t="str">
        <f t="shared" si="4"/>
        <v>--</v>
      </c>
      <c r="AD258" s="3" t="str">
        <f t="shared" si="4"/>
        <v>--</v>
      </c>
      <c r="AE258" s="3" t="str">
        <f t="shared" si="4"/>
        <v>--</v>
      </c>
    </row>
    <row r="259" spans="1:33" x14ac:dyDescent="0.3">
      <c r="A259" s="22" t="s">
        <v>44</v>
      </c>
      <c r="B259">
        <f>IF(B256&lt;0, B256, "")</f>
        <v>-39.529998779296903</v>
      </c>
      <c r="C259" t="str">
        <f t="shared" ref="C259:AG259" si="5">IF(C256&lt;0, C256, "")</f>
        <v/>
      </c>
      <c r="D259" t="str">
        <f t="shared" si="5"/>
        <v/>
      </c>
      <c r="E259">
        <f t="shared" si="5"/>
        <v>-12.700874328613295</v>
      </c>
      <c r="F259" t="str">
        <f t="shared" si="5"/>
        <v/>
      </c>
      <c r="G259" t="str">
        <f t="shared" si="5"/>
        <v/>
      </c>
      <c r="H259">
        <f t="shared" si="5"/>
        <v>-79.204999923706097</v>
      </c>
      <c r="I259" t="str">
        <f t="shared" si="5"/>
        <v/>
      </c>
      <c r="J259">
        <f t="shared" si="5"/>
        <v>-3.1299972534179972</v>
      </c>
      <c r="K259" t="str">
        <f t="shared" si="5"/>
        <v/>
      </c>
      <c r="L259" t="str">
        <f t="shared" si="5"/>
        <v/>
      </c>
      <c r="M259" t="str">
        <f t="shared" si="5"/>
        <v/>
      </c>
      <c r="N259" t="str">
        <f t="shared" si="5"/>
        <v/>
      </c>
      <c r="O259">
        <f t="shared" si="5"/>
        <v>-33.800003051757898</v>
      </c>
      <c r="P259" t="str">
        <f t="shared" si="5"/>
        <v/>
      </c>
      <c r="Q259" t="str">
        <f t="shared" si="5"/>
        <v/>
      </c>
      <c r="R259" t="str">
        <f t="shared" si="5"/>
        <v/>
      </c>
      <c r="S259">
        <f t="shared" si="5"/>
        <v>-81.25</v>
      </c>
      <c r="T259" t="str">
        <f t="shared" si="5"/>
        <v/>
      </c>
      <c r="U259">
        <f t="shared" si="5"/>
        <v>-20.160003662109403</v>
      </c>
      <c r="V259" t="str">
        <f t="shared" si="5"/>
        <v/>
      </c>
      <c r="W259" t="str">
        <f t="shared" si="5"/>
        <v/>
      </c>
      <c r="X259" t="str">
        <f t="shared" si="5"/>
        <v/>
      </c>
      <c r="Y259" t="str">
        <f t="shared" si="5"/>
        <v/>
      </c>
      <c r="Z259" t="str">
        <f t="shared" si="5"/>
        <v/>
      </c>
      <c r="AA259" t="str">
        <f t="shared" si="5"/>
        <v/>
      </c>
      <c r="AB259" t="str">
        <f t="shared" si="5"/>
        <v/>
      </c>
      <c r="AC259" t="str">
        <f t="shared" si="5"/>
        <v/>
      </c>
      <c r="AD259" t="str">
        <f t="shared" si="5"/>
        <v/>
      </c>
      <c r="AE259" t="str">
        <f t="shared" si="5"/>
        <v/>
      </c>
      <c r="AF259" t="str">
        <f t="shared" si="5"/>
        <v/>
      </c>
      <c r="AG259" t="str">
        <f t="shared" si="5"/>
        <v/>
      </c>
    </row>
    <row r="260" spans="1:33" x14ac:dyDescent="0.3">
      <c r="A260" s="22" t="s">
        <v>45</v>
      </c>
      <c r="B260" s="4" t="str">
        <f>IF(B256&gt;0, B1, "---")</f>
        <v>---</v>
      </c>
      <c r="C260" s="4" t="str">
        <f>IF(C256&gt;0, C1, "---")</f>
        <v>APLAPOLLO.BO</v>
      </c>
      <c r="D260" s="4" t="str">
        <f t="shared" ref="D260:AE260" si="6">IF(D256&gt;0, D1, "---")</f>
        <v>BALAMINES.BO</v>
      </c>
      <c r="E260" s="4" t="str">
        <f t="shared" si="6"/>
        <v>---</v>
      </c>
      <c r="F260" s="4" t="str">
        <f t="shared" si="6"/>
        <v>CHEMPLASTS.BO</v>
      </c>
      <c r="G260" s="4" t="str">
        <f t="shared" si="6"/>
        <v>CAMS.BO</v>
      </c>
      <c r="H260" s="4" t="str">
        <f t="shared" si="6"/>
        <v>---</v>
      </c>
      <c r="I260" s="4" t="str">
        <f t="shared" si="6"/>
        <v>ESABINDIA.BO</v>
      </c>
      <c r="J260" s="4" t="str">
        <f t="shared" si="6"/>
        <v>---</v>
      </c>
      <c r="K260" s="4" t="str">
        <f t="shared" si="6"/>
        <v>GUFICBIO.BO</v>
      </c>
      <c r="L260" s="4" t="str">
        <f t="shared" si="6"/>
        <v>GUJTHEM.BO</v>
      </c>
      <c r="M260" s="4" t="str">
        <f t="shared" si="6"/>
        <v>HAWKINCOOK.BO</v>
      </c>
      <c r="N260" s="4" t="str">
        <f t="shared" si="6"/>
        <v>MAITHANALL.BO</v>
      </c>
      <c r="O260" s="4" t="str">
        <f t="shared" si="6"/>
        <v>---</v>
      </c>
      <c r="P260" s="4" t="str">
        <f t="shared" si="6"/>
        <v>MONARCH.BO</v>
      </c>
      <c r="Q260" s="4" t="str">
        <f t="shared" si="6"/>
        <v>NDTV.BO</v>
      </c>
      <c r="R260" s="4" t="str">
        <f t="shared" si="6"/>
        <v>SHAREINDIA.BO</v>
      </c>
      <c r="S260" s="4" t="str">
        <f t="shared" si="6"/>
        <v>---</v>
      </c>
      <c r="T260" s="4" t="str">
        <f t="shared" si="6"/>
        <v>SONATSOFTW.BO</v>
      </c>
      <c r="U260" s="4" t="str">
        <f t="shared" si="6"/>
        <v>---</v>
      </c>
      <c r="V260" s="4" t="str">
        <f t="shared" si="6"/>
        <v>STYRENIX.BO</v>
      </c>
      <c r="W260" s="4" t="str">
        <f t="shared" si="6"/>
        <v>SPLPETRO.BO</v>
      </c>
      <c r="X260" s="4" t="str">
        <f t="shared" si="6"/>
        <v>SUVENPHAR.BO</v>
      </c>
      <c r="Y260" s="4" t="str">
        <f t="shared" si="6"/>
        <v>SWARAJENG.BO</v>
      </c>
      <c r="Z260" s="4" t="str">
        <f t="shared" si="6"/>
        <v>TAALENT.BO</v>
      </c>
      <c r="AA260" s="4" t="str">
        <f t="shared" si="6"/>
        <v>TANFACIND.BO</v>
      </c>
      <c r="AB260" s="4" t="str">
        <f t="shared" si="6"/>
        <v>THYROCARE.BO</v>
      </c>
      <c r="AC260" s="4" t="str">
        <f t="shared" si="6"/>
        <v>TIPSMUSIC.BO</v>
      </c>
      <c r="AD260" s="4" t="str">
        <f t="shared" si="6"/>
        <v>TATASTEEL.NS</v>
      </c>
      <c r="AE260" s="4" t="str">
        <f t="shared" si="6"/>
        <v>PUNJAB</v>
      </c>
    </row>
    <row r="261" spans="1:33" x14ac:dyDescent="0.3">
      <c r="A261" s="22" t="s">
        <v>46</v>
      </c>
      <c r="B261" t="str">
        <f>IF(B256&gt;0, B256, "--")</f>
        <v>--</v>
      </c>
      <c r="C261">
        <f t="shared" ref="C261:AE261" si="7">IF(C256&gt;0, C256, "--")</f>
        <v>1220.09997558593</v>
      </c>
      <c r="D261">
        <f t="shared" si="7"/>
        <v>2231.39990234375</v>
      </c>
      <c r="E261" t="str">
        <f t="shared" si="7"/>
        <v>--</v>
      </c>
      <c r="F261">
        <f t="shared" si="7"/>
        <v>343.29998779296801</v>
      </c>
      <c r="G261">
        <f t="shared" si="7"/>
        <v>2059.35009765625</v>
      </c>
      <c r="H261" t="str">
        <f t="shared" si="7"/>
        <v>--</v>
      </c>
      <c r="I261">
        <f t="shared" si="7"/>
        <v>3849.94995117187</v>
      </c>
      <c r="J261" t="str">
        <f t="shared" si="7"/>
        <v>--</v>
      </c>
      <c r="K261">
        <f t="shared" si="7"/>
        <v>134.94999694824199</v>
      </c>
      <c r="L261">
        <f t="shared" si="7"/>
        <v>58.419998168945</v>
      </c>
      <c r="M261">
        <f t="shared" si="7"/>
        <v>6285.5498046875</v>
      </c>
      <c r="N261">
        <f t="shared" si="7"/>
        <v>877.09997558593705</v>
      </c>
      <c r="O261" t="str">
        <f t="shared" si="7"/>
        <v>--</v>
      </c>
      <c r="P261">
        <f t="shared" si="7"/>
        <v>17.375</v>
      </c>
      <c r="Q261">
        <f t="shared" si="7"/>
        <v>130.850006103515</v>
      </c>
      <c r="R261">
        <f t="shared" si="7"/>
        <v>161.08999633789</v>
      </c>
      <c r="S261" t="str">
        <f t="shared" si="7"/>
        <v>--</v>
      </c>
      <c r="T261">
        <f t="shared" si="7"/>
        <v>396.350006103515</v>
      </c>
      <c r="U261" t="str">
        <f t="shared" si="7"/>
        <v>--</v>
      </c>
      <c r="V261">
        <f t="shared" si="7"/>
        <v>1000.30004882812</v>
      </c>
      <c r="W261">
        <f t="shared" si="7"/>
        <v>341.25</v>
      </c>
      <c r="X261">
        <f t="shared" si="7"/>
        <v>388.89999389648398</v>
      </c>
      <c r="Y261">
        <f t="shared" si="7"/>
        <v>1997.55004882812</v>
      </c>
      <c r="Z261">
        <f t="shared" si="7"/>
        <v>1694.90002441406</v>
      </c>
      <c r="AA261">
        <f t="shared" si="7"/>
        <v>1812.5</v>
      </c>
      <c r="AB261">
        <f t="shared" si="7"/>
        <v>422.04998779296795</v>
      </c>
      <c r="AC261">
        <f t="shared" si="7"/>
        <v>163.79998779296801</v>
      </c>
      <c r="AD261">
        <f t="shared" si="7"/>
        <v>9.8499984741209943</v>
      </c>
      <c r="AE261">
        <f t="shared" si="7"/>
        <v>799.20001220703102</v>
      </c>
    </row>
    <row r="267" spans="1:33" ht="15" thickBot="1" x14ac:dyDescent="0.35"/>
    <row r="268" spans="1:33" x14ac:dyDescent="0.3">
      <c r="A268" s="42" t="s">
        <v>70</v>
      </c>
      <c r="B268" s="43"/>
    </row>
    <row r="269" spans="1:33" x14ac:dyDescent="0.3">
      <c r="A269" s="5" t="s">
        <v>2</v>
      </c>
      <c r="B269" s="6">
        <v>85000000</v>
      </c>
    </row>
    <row r="270" spans="1:33" x14ac:dyDescent="0.3">
      <c r="A270" s="5" t="s">
        <v>48</v>
      </c>
      <c r="B270" s="6">
        <v>277524992</v>
      </c>
    </row>
    <row r="271" spans="1:33" x14ac:dyDescent="0.3">
      <c r="A271" s="5" t="s">
        <v>49</v>
      </c>
      <c r="B271" s="6">
        <v>32401000</v>
      </c>
    </row>
    <row r="272" spans="1:33" x14ac:dyDescent="0.3">
      <c r="A272" s="5" t="s">
        <v>50</v>
      </c>
      <c r="B272" s="6">
        <v>248858000</v>
      </c>
    </row>
    <row r="273" spans="1:2" x14ac:dyDescent="0.3">
      <c r="A273" s="5" t="s">
        <v>5</v>
      </c>
      <c r="B273" s="6">
        <v>158110000</v>
      </c>
    </row>
    <row r="274" spans="1:2" x14ac:dyDescent="0.3">
      <c r="A274" s="5" t="s">
        <v>51</v>
      </c>
      <c r="B274" s="6">
        <v>49365800</v>
      </c>
    </row>
    <row r="275" spans="1:2" x14ac:dyDescent="0.3">
      <c r="A275" s="5" t="s">
        <v>52</v>
      </c>
      <c r="B275" s="6">
        <v>3544079872</v>
      </c>
    </row>
    <row r="276" spans="1:2" x14ac:dyDescent="0.3">
      <c r="A276" s="5" t="s">
        <v>8</v>
      </c>
      <c r="B276" s="6">
        <v>15393000</v>
      </c>
    </row>
    <row r="277" spans="1:2" x14ac:dyDescent="0.3">
      <c r="A277" s="5" t="s">
        <v>9</v>
      </c>
      <c r="B277" s="6">
        <v>646475008</v>
      </c>
    </row>
    <row r="278" spans="1:2" x14ac:dyDescent="0.3">
      <c r="A278" s="5" t="s">
        <v>10</v>
      </c>
      <c r="B278" s="6">
        <v>100278000</v>
      </c>
    </row>
    <row r="279" spans="1:2" x14ac:dyDescent="0.3">
      <c r="A279" s="5" t="s">
        <v>53</v>
      </c>
      <c r="B279" s="6">
        <v>10910000</v>
      </c>
    </row>
    <row r="280" spans="1:2" x14ac:dyDescent="0.3">
      <c r="A280" s="5" t="s">
        <v>54</v>
      </c>
      <c r="B280" s="6">
        <v>5300000</v>
      </c>
    </row>
    <row r="281" spans="1:2" x14ac:dyDescent="0.3">
      <c r="A281" s="5" t="s">
        <v>55</v>
      </c>
      <c r="B281" s="6">
        <v>29111600</v>
      </c>
    </row>
    <row r="282" spans="1:2" x14ac:dyDescent="0.3">
      <c r="A282" s="5" t="s">
        <v>56</v>
      </c>
      <c r="B282" s="6">
        <v>171999008</v>
      </c>
    </row>
    <row r="283" spans="1:2" x14ac:dyDescent="0.3">
      <c r="A283" s="5" t="s">
        <v>57</v>
      </c>
      <c r="B283" s="6">
        <v>78460896</v>
      </c>
    </row>
    <row r="284" spans="1:2" x14ac:dyDescent="0.3">
      <c r="A284" s="5" t="s">
        <v>58</v>
      </c>
      <c r="B284" s="6">
        <v>64471300</v>
      </c>
    </row>
    <row r="285" spans="1:2" x14ac:dyDescent="0.3">
      <c r="A285" s="5" t="s">
        <v>59</v>
      </c>
      <c r="B285" s="6">
        <v>12262200</v>
      </c>
    </row>
    <row r="286" spans="1:2" x14ac:dyDescent="0.3">
      <c r="A286" s="5" t="s">
        <v>60</v>
      </c>
      <c r="B286" s="6">
        <v>218220000</v>
      </c>
    </row>
    <row r="287" spans="1:2" x14ac:dyDescent="0.3">
      <c r="A287" s="5" t="s">
        <v>61</v>
      </c>
      <c r="B287" s="6">
        <v>212172992</v>
      </c>
    </row>
    <row r="288" spans="1:2" x14ac:dyDescent="0.3">
      <c r="A288" s="5" t="s">
        <v>62</v>
      </c>
      <c r="B288" s="6">
        <v>277612000</v>
      </c>
    </row>
    <row r="289" spans="1:2" x14ac:dyDescent="0.3">
      <c r="A289" s="5" t="s">
        <v>20</v>
      </c>
      <c r="B289" s="6">
        <v>127072000</v>
      </c>
    </row>
    <row r="290" spans="1:2" x14ac:dyDescent="0.3">
      <c r="A290" s="5" t="s">
        <v>21</v>
      </c>
      <c r="B290" s="6">
        <v>17585600</v>
      </c>
    </row>
    <row r="291" spans="1:2" x14ac:dyDescent="0.3">
      <c r="A291" s="5" t="s">
        <v>63</v>
      </c>
      <c r="B291" s="6">
        <v>18770000</v>
      </c>
    </row>
    <row r="292" spans="1:2" x14ac:dyDescent="0.3">
      <c r="A292" s="5" t="s">
        <v>64</v>
      </c>
      <c r="B292" s="6">
        <v>254564992</v>
      </c>
    </row>
    <row r="293" spans="1:2" x14ac:dyDescent="0.3">
      <c r="A293" s="5" t="s">
        <v>65</v>
      </c>
      <c r="B293" s="6">
        <v>12147300</v>
      </c>
    </row>
    <row r="294" spans="1:2" x14ac:dyDescent="0.3">
      <c r="A294" s="5" t="s">
        <v>66</v>
      </c>
      <c r="B294" s="6">
        <v>3100000</v>
      </c>
    </row>
    <row r="295" spans="1:2" x14ac:dyDescent="0.3">
      <c r="A295" s="5" t="s">
        <v>67</v>
      </c>
      <c r="B295" s="6">
        <v>9960000</v>
      </c>
    </row>
    <row r="296" spans="1:2" x14ac:dyDescent="0.3">
      <c r="A296" s="5" t="s">
        <v>68</v>
      </c>
      <c r="B296" s="6">
        <v>52991400</v>
      </c>
    </row>
    <row r="297" spans="1:2" x14ac:dyDescent="0.3">
      <c r="A297" s="5" t="s">
        <v>29</v>
      </c>
      <c r="B297" s="6">
        <v>12471799808</v>
      </c>
    </row>
    <row r="298" spans="1:2" ht="15" thickBot="1" x14ac:dyDescent="0.35">
      <c r="A298" s="7" t="s">
        <v>69</v>
      </c>
      <c r="B298" s="8">
        <v>12810000</v>
      </c>
    </row>
  </sheetData>
  <mergeCells count="1">
    <mergeCell ref="A268:B268"/>
  </mergeCells>
  <conditionalFormatting sqref="A260:AE26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{D3A1A2D8-CC88-4056-9C1C-EF22C3FBD018}</x14:id>
        </ext>
      </extLst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A1A2D8-CC88-4056-9C1C-EF22C3FBD0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A260:AE261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FB58-9038-40D2-A571-B1DED4F98599}">
  <dimension ref="A1:U38"/>
  <sheetViews>
    <sheetView workbookViewId="0">
      <selection activeCell="U34" sqref="U34"/>
    </sheetView>
  </sheetViews>
  <sheetFormatPr defaultRowHeight="14.4" x14ac:dyDescent="0.3"/>
  <cols>
    <col min="1" max="1" width="45.109375" customWidth="1"/>
    <col min="2" max="2" width="19" customWidth="1"/>
    <col min="3" max="3" width="20" customWidth="1"/>
    <col min="4" max="4" width="20.77734375" customWidth="1"/>
    <col min="5" max="5" width="29" customWidth="1"/>
    <col min="6" max="6" width="22.33203125" customWidth="1"/>
    <col min="7" max="7" width="34.88671875" customWidth="1"/>
    <col min="8" max="8" width="22.21875" customWidth="1"/>
    <col min="9" max="9" width="25.88671875" customWidth="1"/>
    <col min="10" max="10" width="33.33203125" customWidth="1"/>
    <col min="11" max="11" width="27.33203125" customWidth="1"/>
    <col min="12" max="12" width="34.109375" customWidth="1"/>
    <col min="13" max="13" width="31.5546875" customWidth="1"/>
    <col min="14" max="14" width="40.77734375" customWidth="1"/>
    <col min="15" max="15" width="41.21875" customWidth="1"/>
    <col min="16" max="16" width="34.5546875" customWidth="1"/>
    <col min="17" max="17" width="11.77734375" customWidth="1"/>
    <col min="18" max="18" width="28.109375" customWidth="1"/>
    <col min="19" max="19" width="29.88671875" customWidth="1"/>
    <col min="20" max="20" width="40.6640625" customWidth="1"/>
    <col min="21" max="21" width="19.44140625" customWidth="1"/>
  </cols>
  <sheetData>
    <row r="1" spans="1:21" ht="17.399999999999999" thickBot="1" x14ac:dyDescent="0.35">
      <c r="A1" s="30" t="s">
        <v>71</v>
      </c>
      <c r="B1" s="31" t="s">
        <v>72</v>
      </c>
      <c r="C1" s="31" t="s">
        <v>73</v>
      </c>
      <c r="D1" s="31" t="s">
        <v>74</v>
      </c>
      <c r="E1" s="31" t="s">
        <v>75</v>
      </c>
      <c r="F1" s="31" t="s">
        <v>76</v>
      </c>
      <c r="G1" s="31" t="s">
        <v>77</v>
      </c>
      <c r="H1" s="31" t="s">
        <v>78</v>
      </c>
      <c r="I1" s="31" t="s">
        <v>79</v>
      </c>
      <c r="J1" s="31" t="s">
        <v>80</v>
      </c>
      <c r="K1" s="31" t="s">
        <v>81</v>
      </c>
      <c r="L1" s="31" t="s">
        <v>82</v>
      </c>
      <c r="M1" s="31" t="s">
        <v>83</v>
      </c>
      <c r="N1" s="31" t="s">
        <v>84</v>
      </c>
      <c r="O1" s="31" t="s">
        <v>85</v>
      </c>
      <c r="P1" s="31" t="s">
        <v>86</v>
      </c>
      <c r="Q1" s="31" t="s">
        <v>87</v>
      </c>
      <c r="R1" s="32" t="s">
        <v>88</v>
      </c>
      <c r="S1" s="33" t="s">
        <v>89</v>
      </c>
      <c r="T1" s="28" t="s">
        <v>90</v>
      </c>
      <c r="U1" s="34" t="s">
        <v>91</v>
      </c>
    </row>
    <row r="2" spans="1:2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3"/>
      <c r="T2" s="13"/>
      <c r="U2" s="13"/>
    </row>
    <row r="3" spans="1:21" x14ac:dyDescent="0.3">
      <c r="A3" s="12" t="s">
        <v>92</v>
      </c>
      <c r="B3" s="12">
        <v>1437</v>
      </c>
      <c r="C3" s="12">
        <v>116.55020180930001</v>
      </c>
      <c r="D3" s="12">
        <v>167482.6399999641</v>
      </c>
      <c r="E3" s="12">
        <v>65.59</v>
      </c>
      <c r="F3" s="12">
        <v>94252.83</v>
      </c>
      <c r="G3" s="12" t="s">
        <v>93</v>
      </c>
      <c r="H3" s="12">
        <v>1103.3</v>
      </c>
      <c r="I3" s="12" t="str">
        <f>IF(ISNA(VLOOKUP(G3,$A$3:$A$32,1,FALSE)),"Not in New Portfolio","In New Portfolio")</f>
        <v>Not in New Portfolio</v>
      </c>
      <c r="J3" s="12" t="str">
        <f>IF(ISNA(VLOOKUP(A3,$G$3:$G$32,1,FALSE)),"Not in New Portfolio","In New Portfolio")</f>
        <v>Not in New Portfolio</v>
      </c>
      <c r="K3" s="12" t="str" cm="1">
        <f t="array" ref="K3:K32">IF(J3:J32="Not in New Portfolio", "Sell", "Hold")</f>
        <v>Sell</v>
      </c>
      <c r="L3" s="12" t="str">
        <f>IF(J3="Not in New Portfolio",A3,"")</f>
        <v>ANDHRA PETROCHEMICALS LTD.</v>
      </c>
      <c r="M3" s="12">
        <f>F3/E3</f>
        <v>1437</v>
      </c>
      <c r="N3" s="12">
        <f>M3*E3</f>
        <v>94252.83</v>
      </c>
      <c r="O3" s="12"/>
      <c r="P3" s="12" t="str" cm="1">
        <f t="array" ref="P3:Q3">IF(I3="Not in New Portfolio", G3:H3, "")</f>
        <v>KSolves India Ltd.</v>
      </c>
      <c r="Q3" s="12">
        <v>1103.3</v>
      </c>
      <c r="R3" s="14">
        <f>$D$36/Q3</f>
        <v>212.26544507890475</v>
      </c>
      <c r="S3" s="15">
        <f>Q3*R3</f>
        <v>234192.46555555559</v>
      </c>
      <c r="T3" s="12" t="s">
        <v>94</v>
      </c>
      <c r="U3" s="15">
        <v>234192.4656</v>
      </c>
    </row>
    <row r="4" spans="1:21" x14ac:dyDescent="0.3">
      <c r="A4" s="12" t="s">
        <v>95</v>
      </c>
      <c r="B4" s="12">
        <v>175</v>
      </c>
      <c r="C4" s="12">
        <v>952.51285714289997</v>
      </c>
      <c r="D4" s="12">
        <v>166689.75000000751</v>
      </c>
      <c r="E4" s="12">
        <v>1305.3</v>
      </c>
      <c r="F4" s="12">
        <v>228427.5</v>
      </c>
      <c r="G4" s="12" t="s">
        <v>96</v>
      </c>
      <c r="H4" s="12">
        <v>267.2</v>
      </c>
      <c r="I4" s="12" t="str">
        <f t="shared" ref="I4:I32" si="0">IF(ISNA(VLOOKUP(G4,$A$3:$A$32,1,FALSE)),"Not in New Portfolio","In New Portfolio")</f>
        <v>In New Portfolio</v>
      </c>
      <c r="J4" s="12" t="str">
        <f t="shared" ref="J4:J32" si="1">IF(ISNA(VLOOKUP(A4,$G$3:$G$32,1,FALSE)),"Not in New Portfolio","In New Portfolio")</f>
        <v>Not in New Portfolio</v>
      </c>
      <c r="K4" s="12" t="str">
        <v>Sell</v>
      </c>
      <c r="L4" s="12" t="str">
        <f t="shared" ref="L4:L32" si="2">IF(J4="Not in New Portfolio", A4, "")</f>
        <v>APL APOLLO TUBES LTD.</v>
      </c>
      <c r="M4" s="12">
        <f>F4/E4</f>
        <v>175</v>
      </c>
      <c r="N4" s="12">
        <f t="shared" ref="N4:N32" si="3">M4*E4</f>
        <v>228427.5</v>
      </c>
      <c r="O4" s="12" t="str">
        <f>IF(J4=" In New Portfolio", A4, "")</f>
        <v/>
      </c>
      <c r="P4" s="12" t="str" cm="1">
        <f t="array" ref="P4">IF(I4="Not in New Portfolio", G4:H4, "")</f>
        <v/>
      </c>
      <c r="Q4" s="12"/>
      <c r="R4" s="14"/>
      <c r="S4" s="13">
        <v>0</v>
      </c>
      <c r="T4" s="13" t="s">
        <v>97</v>
      </c>
      <c r="U4" s="15">
        <v>139564.76999999999</v>
      </c>
    </row>
    <row r="5" spans="1:21" x14ac:dyDescent="0.3">
      <c r="A5" s="12" t="s">
        <v>98</v>
      </c>
      <c r="B5" s="12">
        <v>43</v>
      </c>
      <c r="C5" s="12">
        <v>3245.6923255813999</v>
      </c>
      <c r="D5" s="12">
        <v>139564.77000000019</v>
      </c>
      <c r="E5" s="12">
        <v>2316.5500000000002</v>
      </c>
      <c r="F5" s="12">
        <v>99611.65</v>
      </c>
      <c r="G5" s="12" t="s">
        <v>99</v>
      </c>
      <c r="H5" s="12">
        <v>3976.2</v>
      </c>
      <c r="I5" s="12" t="str">
        <f t="shared" si="0"/>
        <v>In New Portfolio</v>
      </c>
      <c r="J5" s="12" t="str">
        <f t="shared" si="1"/>
        <v>In New Portfolio</v>
      </c>
      <c r="K5" s="12" t="str">
        <v>Hold</v>
      </c>
      <c r="L5" s="12" t="str">
        <f t="shared" si="2"/>
        <v/>
      </c>
      <c r="M5" s="12"/>
      <c r="N5" s="12">
        <f t="shared" si="3"/>
        <v>0</v>
      </c>
      <c r="O5" s="12" t="str">
        <f t="shared" ref="O5:O32" si="4">IF(J5="In New Portfolio", A5, "")</f>
        <v>BALAJI AMINES LTD.</v>
      </c>
      <c r="P5" s="12" t="str" cm="1">
        <f t="array" ref="P5">IF(I5="Not in New Portfolio", G5:H5, "")</f>
        <v/>
      </c>
      <c r="Q5" s="12"/>
      <c r="R5" s="14"/>
      <c r="S5" s="13">
        <v>0</v>
      </c>
      <c r="T5" s="13" t="s">
        <v>100</v>
      </c>
      <c r="U5" s="15">
        <v>234192.4656</v>
      </c>
    </row>
    <row r="6" spans="1:21" x14ac:dyDescent="0.3">
      <c r="A6" s="12" t="s">
        <v>101</v>
      </c>
      <c r="B6" s="12">
        <v>1202</v>
      </c>
      <c r="C6" s="12">
        <v>138.78806156409999</v>
      </c>
      <c r="D6" s="12">
        <v>166823.25000004799</v>
      </c>
      <c r="E6" s="12">
        <v>131.5</v>
      </c>
      <c r="F6" s="12">
        <v>158063</v>
      </c>
      <c r="G6" s="12" t="s">
        <v>102</v>
      </c>
      <c r="H6" s="12">
        <v>1428</v>
      </c>
      <c r="I6" s="12" t="str">
        <f t="shared" si="0"/>
        <v>Not in New Portfolio</v>
      </c>
      <c r="J6" s="12" t="str">
        <f t="shared" si="1"/>
        <v>Not in New Portfolio</v>
      </c>
      <c r="K6" s="12" t="str">
        <v>Sell</v>
      </c>
      <c r="L6" s="12" t="str">
        <f t="shared" si="2"/>
        <v>BHANSALI ENGINEERING POLYMERS LTD-EQUITY SHARES OF RE.1/-</v>
      </c>
      <c r="M6" s="12">
        <f>F6/E6</f>
        <v>1202</v>
      </c>
      <c r="N6" s="12">
        <f t="shared" si="3"/>
        <v>158063</v>
      </c>
      <c r="O6" s="12" t="str">
        <f t="shared" si="4"/>
        <v/>
      </c>
      <c r="P6" s="12" t="str" cm="1">
        <f t="array" ref="P6:Q6">IF(I6="Not in New Portfolio", G6:H6, "")</f>
        <v>Waaree Renewable Technologies Ltd.</v>
      </c>
      <c r="Q6" s="12">
        <v>1428</v>
      </c>
      <c r="R6" s="14">
        <f t="shared" ref="R6:R32" si="5">$D$36/Q6</f>
        <v>164.00032601929664</v>
      </c>
      <c r="S6" s="15">
        <f t="shared" ref="S6:S32" si="6">Q6*R6</f>
        <v>234192.46555555559</v>
      </c>
      <c r="T6" s="13" t="s">
        <v>103</v>
      </c>
      <c r="U6" s="15">
        <v>234192.4656</v>
      </c>
    </row>
    <row r="7" spans="1:21" x14ac:dyDescent="0.3">
      <c r="A7" s="12" t="s">
        <v>104</v>
      </c>
      <c r="B7" s="12">
        <v>292</v>
      </c>
      <c r="C7" s="12">
        <v>479.93647260270001</v>
      </c>
      <c r="D7" s="12">
        <v>140141.44999998799</v>
      </c>
      <c r="E7" s="12">
        <v>454.6</v>
      </c>
      <c r="F7" s="12">
        <v>132743.20000000001</v>
      </c>
      <c r="G7" s="12" t="s">
        <v>105</v>
      </c>
      <c r="H7" s="12">
        <v>817</v>
      </c>
      <c r="I7" s="12" t="str">
        <f t="shared" si="0"/>
        <v>Not in New Portfolio</v>
      </c>
      <c r="J7" s="12" t="str">
        <f t="shared" si="1"/>
        <v>Not in New Portfolio</v>
      </c>
      <c r="K7" s="12" t="str">
        <v>Sell</v>
      </c>
      <c r="L7" s="12" t="str">
        <f t="shared" si="2"/>
        <v>CHEMPLAST SANMAR LTD</v>
      </c>
      <c r="M7" s="12">
        <f>F7/E7</f>
        <v>292</v>
      </c>
      <c r="N7" s="12">
        <f t="shared" si="3"/>
        <v>132743.20000000001</v>
      </c>
      <c r="O7" s="12" t="str">
        <f t="shared" si="4"/>
        <v/>
      </c>
      <c r="P7" s="12" t="str" cm="1">
        <f t="array" ref="P7:Q7">IF(I7="Not in New Portfolio", G7:H7, "")</f>
        <v>Dreamfolks Services Ltd.</v>
      </c>
      <c r="Q7" s="12">
        <v>817</v>
      </c>
      <c r="R7" s="14">
        <f t="shared" si="5"/>
        <v>286.6492846457229</v>
      </c>
      <c r="S7" s="15">
        <f t="shared" si="6"/>
        <v>234192.46555555562</v>
      </c>
      <c r="T7" s="13" t="s">
        <v>106</v>
      </c>
      <c r="U7" s="15">
        <v>234192.4656</v>
      </c>
    </row>
    <row r="8" spans="1:21" x14ac:dyDescent="0.3">
      <c r="A8" s="12" t="s">
        <v>107</v>
      </c>
      <c r="B8" s="12">
        <v>65</v>
      </c>
      <c r="C8" s="12">
        <v>2535.3684615385</v>
      </c>
      <c r="D8" s="12">
        <v>164798.95000000249</v>
      </c>
      <c r="E8" s="12">
        <v>2198.5500000000002</v>
      </c>
      <c r="F8" s="12">
        <v>142905.75</v>
      </c>
      <c r="G8" s="12" t="s">
        <v>108</v>
      </c>
      <c r="H8" s="12">
        <v>630.9</v>
      </c>
      <c r="I8" s="12" t="str">
        <f t="shared" si="0"/>
        <v>Not in New Portfolio</v>
      </c>
      <c r="J8" s="12" t="str">
        <f t="shared" si="1"/>
        <v>In New Portfolio</v>
      </c>
      <c r="K8" s="12" t="str">
        <v>Hold</v>
      </c>
      <c r="L8" s="12" t="str">
        <f t="shared" si="2"/>
        <v/>
      </c>
      <c r="M8" s="12"/>
      <c r="N8" s="12">
        <f t="shared" si="3"/>
        <v>0</v>
      </c>
      <c r="O8" s="12" t="str">
        <f t="shared" si="4"/>
        <v>COMPUTER AGE MANAGEMENT SERVICES LTD</v>
      </c>
      <c r="P8" s="12" t="str" cm="1">
        <f t="array" ref="P8:Q8">IF(I8="Not in New Portfolio", G8:H8, "")</f>
        <v>ICICI Securities Ltd.</v>
      </c>
      <c r="Q8" s="12">
        <v>630.9</v>
      </c>
      <c r="R8" s="14">
        <f t="shared" si="5"/>
        <v>371.20378119441369</v>
      </c>
      <c r="S8" s="15">
        <f t="shared" si="6"/>
        <v>234192.46555555559</v>
      </c>
      <c r="T8" s="13" t="s">
        <v>109</v>
      </c>
      <c r="U8" s="15">
        <v>234192.4656</v>
      </c>
    </row>
    <row r="9" spans="1:21" x14ac:dyDescent="0.3">
      <c r="A9" s="12" t="s">
        <v>110</v>
      </c>
      <c r="B9" s="12">
        <v>2792</v>
      </c>
      <c r="C9" s="12">
        <v>50.132098853899997</v>
      </c>
      <c r="D9" s="12">
        <v>139968.8200000888</v>
      </c>
      <c r="E9" s="12">
        <v>40.5</v>
      </c>
      <c r="F9" s="12">
        <v>113076</v>
      </c>
      <c r="G9" s="12" t="s">
        <v>111</v>
      </c>
      <c r="H9" s="12">
        <v>1490</v>
      </c>
      <c r="I9" s="12" t="str">
        <f t="shared" si="0"/>
        <v>Not in New Portfolio</v>
      </c>
      <c r="J9" s="12" t="str">
        <f t="shared" si="1"/>
        <v>In New Portfolio</v>
      </c>
      <c r="K9" s="12" t="str">
        <v>Hold</v>
      </c>
      <c r="L9" s="12" t="str">
        <f t="shared" si="2"/>
        <v/>
      </c>
      <c r="M9" s="12"/>
      <c r="N9" s="12">
        <f t="shared" si="3"/>
        <v>0</v>
      </c>
      <c r="O9" s="12" t="str">
        <f t="shared" si="4"/>
        <v>EASY TRIP PLANNERS LTD</v>
      </c>
      <c r="P9" s="12" t="str" cm="1">
        <f t="array" ref="P9:Q9">IF(I9="Not in New Portfolio", G9:H9, "")</f>
        <v>Jyoti Resins &amp; Adhesives Ltd.</v>
      </c>
      <c r="Q9" s="12">
        <v>1490</v>
      </c>
      <c r="R9" s="14">
        <f t="shared" si="5"/>
        <v>157.1761513795675</v>
      </c>
      <c r="S9" s="15">
        <f t="shared" si="6"/>
        <v>234192.46555555557</v>
      </c>
      <c r="T9" s="13" t="s">
        <v>112</v>
      </c>
      <c r="U9" s="15">
        <v>234192.4656</v>
      </c>
    </row>
    <row r="10" spans="1:21" x14ac:dyDescent="0.3">
      <c r="A10" s="12" t="s">
        <v>113</v>
      </c>
      <c r="B10" s="12">
        <v>41</v>
      </c>
      <c r="C10" s="12">
        <v>3341.0502439023999</v>
      </c>
      <c r="D10" s="12">
        <v>136983.0599999984</v>
      </c>
      <c r="E10" s="12">
        <v>3976.2</v>
      </c>
      <c r="F10" s="12">
        <v>163024.20000000001</v>
      </c>
      <c r="G10" s="12" t="s">
        <v>114</v>
      </c>
      <c r="H10" s="12">
        <v>493.85</v>
      </c>
      <c r="I10" s="12" t="str">
        <f t="shared" si="0"/>
        <v>Not in New Portfolio</v>
      </c>
      <c r="J10" s="12" t="str">
        <f t="shared" si="1"/>
        <v>In New Portfolio</v>
      </c>
      <c r="K10" s="12" t="str">
        <v>Hold</v>
      </c>
      <c r="L10" s="12" t="str">
        <f t="shared" si="2"/>
        <v/>
      </c>
      <c r="M10" s="12">
        <f t="shared" ref="M10:M19" si="7">F10/E10</f>
        <v>41.000000000000007</v>
      </c>
      <c r="N10" s="12">
        <f t="shared" si="3"/>
        <v>163024.20000000001</v>
      </c>
      <c r="O10" s="12" t="str">
        <f t="shared" si="4"/>
        <v>ESAB INDIA LTD.</v>
      </c>
      <c r="P10" s="12" t="str" cm="1">
        <f t="array" ref="P10:Q10">IF(I10="Not in New Portfolio", G10:H10, "")</f>
        <v>West Coast Paper Mills Ltd.</v>
      </c>
      <c r="Q10" s="12">
        <v>493.85</v>
      </c>
      <c r="R10" s="14">
        <f t="shared" si="5"/>
        <v>474.21781017627939</v>
      </c>
      <c r="S10" s="15">
        <f t="shared" si="6"/>
        <v>234192.46555555559</v>
      </c>
      <c r="T10" s="13" t="s">
        <v>115</v>
      </c>
      <c r="U10" s="15">
        <v>234192.4656</v>
      </c>
    </row>
    <row r="11" spans="1:21" x14ac:dyDescent="0.3">
      <c r="A11" s="12" t="s">
        <v>116</v>
      </c>
      <c r="B11" s="12">
        <v>349</v>
      </c>
      <c r="C11" s="12">
        <v>481.33954154729997</v>
      </c>
      <c r="D11" s="12">
        <v>167987.50000000771</v>
      </c>
      <c r="E11" s="12">
        <v>528.54999999999995</v>
      </c>
      <c r="F11" s="12">
        <v>184463.95</v>
      </c>
      <c r="G11" s="12" t="s">
        <v>117</v>
      </c>
      <c r="H11" s="12">
        <v>4496.8500000000004</v>
      </c>
      <c r="I11" s="12" t="str">
        <f t="shared" si="0"/>
        <v>Not in New Portfolio</v>
      </c>
      <c r="J11" s="12" t="str">
        <f t="shared" si="1"/>
        <v>Not in New Portfolio</v>
      </c>
      <c r="K11" s="12" t="str">
        <v>Sell</v>
      </c>
      <c r="L11" s="12" t="str">
        <f t="shared" si="2"/>
        <v>GODAWARI POWER &amp; ISPAT LTD.</v>
      </c>
      <c r="M11" s="12">
        <f t="shared" si="7"/>
        <v>349.00000000000006</v>
      </c>
      <c r="N11" s="12">
        <f t="shared" si="3"/>
        <v>184463.95</v>
      </c>
      <c r="O11" s="12" t="str">
        <f t="shared" si="4"/>
        <v/>
      </c>
      <c r="P11" s="12" t="str" cm="1">
        <f t="array" ref="P11:Q11">IF(I11="Not in New Portfolio", G11:H11, "")</f>
        <v>Fine Organic Industries Ltd.</v>
      </c>
      <c r="Q11" s="12">
        <v>4496.8500000000004</v>
      </c>
      <c r="R11" s="14">
        <f t="shared" si="5"/>
        <v>52.079225581363751</v>
      </c>
      <c r="S11" s="15">
        <f t="shared" si="6"/>
        <v>234192.46555555559</v>
      </c>
      <c r="T11" s="13" t="s">
        <v>107</v>
      </c>
      <c r="U11" s="15">
        <v>164798.95000000001</v>
      </c>
    </row>
    <row r="12" spans="1:21" x14ac:dyDescent="0.3">
      <c r="A12" s="12" t="s">
        <v>118</v>
      </c>
      <c r="B12" s="12">
        <v>689</v>
      </c>
      <c r="C12" s="12">
        <v>204.16367198840001</v>
      </c>
      <c r="D12" s="12">
        <v>140668.77000000759</v>
      </c>
      <c r="E12" s="12">
        <v>233.65</v>
      </c>
      <c r="F12" s="12">
        <v>160984.85</v>
      </c>
      <c r="G12" s="12" t="s">
        <v>119</v>
      </c>
      <c r="H12" s="12">
        <v>2131.4</v>
      </c>
      <c r="I12" s="12" t="str">
        <f t="shared" si="0"/>
        <v>In New Portfolio</v>
      </c>
      <c r="J12" s="12" t="str">
        <f t="shared" si="1"/>
        <v>Not in New Portfolio</v>
      </c>
      <c r="K12" s="12" t="str">
        <v>Sell</v>
      </c>
      <c r="L12" s="12" t="str">
        <f t="shared" si="2"/>
        <v>GUFIC BIOSCIENCES LTD.</v>
      </c>
      <c r="M12" s="12">
        <f t="shared" si="7"/>
        <v>689</v>
      </c>
      <c r="N12" s="12">
        <f t="shared" si="3"/>
        <v>160984.85</v>
      </c>
      <c r="O12" s="12" t="str">
        <f t="shared" si="4"/>
        <v/>
      </c>
      <c r="P12" s="12" t="str" cm="1">
        <f t="array" ref="P12">IF(I12="Not in New Portfolio", G12:H12, "")</f>
        <v/>
      </c>
      <c r="Q12" s="12"/>
      <c r="R12" s="14"/>
      <c r="S12" s="13">
        <v>0</v>
      </c>
      <c r="T12" s="13" t="s">
        <v>110</v>
      </c>
      <c r="U12" s="15">
        <v>139968.82</v>
      </c>
    </row>
    <row r="13" spans="1:21" x14ac:dyDescent="0.3">
      <c r="A13" s="12" t="s">
        <v>120</v>
      </c>
      <c r="B13" s="12">
        <v>283</v>
      </c>
      <c r="C13" s="12">
        <v>513.83583038869995</v>
      </c>
      <c r="D13" s="12">
        <v>145415.5400000021</v>
      </c>
      <c r="E13" s="12">
        <v>793.7</v>
      </c>
      <c r="F13" s="12">
        <v>224617.1</v>
      </c>
      <c r="G13" s="12" t="s">
        <v>121</v>
      </c>
      <c r="H13" s="12">
        <v>793.7</v>
      </c>
      <c r="I13" s="12" t="str">
        <f t="shared" si="0"/>
        <v>In New Portfolio</v>
      </c>
      <c r="J13" s="12" t="str">
        <f t="shared" si="1"/>
        <v>In New Portfolio</v>
      </c>
      <c r="K13" s="12" t="str">
        <v>Hold</v>
      </c>
      <c r="L13" s="12" t="str">
        <f t="shared" si="2"/>
        <v/>
      </c>
      <c r="M13" s="12">
        <f t="shared" si="7"/>
        <v>283</v>
      </c>
      <c r="N13" s="12">
        <f t="shared" si="3"/>
        <v>224617.1</v>
      </c>
      <c r="O13" s="12" t="str">
        <f t="shared" si="4"/>
        <v>GUJARAT THEMIS BIOSYN LTD.</v>
      </c>
      <c r="P13" s="12" t="str" cm="1">
        <f t="array" ref="P13">IF(I13="Not in New Portfolio", G13:H13, "")</f>
        <v/>
      </c>
      <c r="Q13" s="12"/>
      <c r="R13" s="14"/>
      <c r="S13" s="13">
        <v>0</v>
      </c>
      <c r="T13" s="13" t="s">
        <v>122</v>
      </c>
      <c r="U13" s="15">
        <v>136983.06</v>
      </c>
    </row>
    <row r="14" spans="1:21" x14ac:dyDescent="0.3">
      <c r="A14" s="12" t="s">
        <v>123</v>
      </c>
      <c r="B14" s="12">
        <v>30</v>
      </c>
      <c r="C14" s="12">
        <v>5320.375</v>
      </c>
      <c r="D14" s="12">
        <v>159611.25</v>
      </c>
      <c r="E14" s="12">
        <v>6392.05</v>
      </c>
      <c r="F14" s="12">
        <v>191761.5</v>
      </c>
      <c r="G14" s="12" t="s">
        <v>107</v>
      </c>
      <c r="H14" s="12">
        <v>2198.5500000000002</v>
      </c>
      <c r="I14" s="12" t="str">
        <f t="shared" si="0"/>
        <v>In New Portfolio</v>
      </c>
      <c r="J14" s="12" t="str">
        <f t="shared" si="1"/>
        <v>In New Portfolio</v>
      </c>
      <c r="K14" s="12" t="str">
        <v>Hold</v>
      </c>
      <c r="L14" s="12" t="str">
        <f t="shared" si="2"/>
        <v/>
      </c>
      <c r="M14" s="12">
        <f t="shared" si="7"/>
        <v>30</v>
      </c>
      <c r="N14" s="12">
        <f t="shared" si="3"/>
        <v>191761.5</v>
      </c>
      <c r="O14" s="12" t="str">
        <f t="shared" si="4"/>
        <v>HAWKINS COOKERS LTD.</v>
      </c>
      <c r="P14" s="12" t="str" cm="1">
        <f t="array" ref="P14">IF(I14="Not in New Portfolio", G14:H14, "")</f>
        <v/>
      </c>
      <c r="Q14" s="12"/>
      <c r="R14" s="14"/>
      <c r="S14" s="13">
        <v>0</v>
      </c>
      <c r="T14" s="13" t="s">
        <v>124</v>
      </c>
      <c r="U14" s="15">
        <v>145415.54</v>
      </c>
    </row>
    <row r="15" spans="1:21" x14ac:dyDescent="0.3">
      <c r="A15" s="12" t="s">
        <v>125</v>
      </c>
      <c r="B15" s="12">
        <v>151</v>
      </c>
      <c r="C15" s="12">
        <v>929.12788079469999</v>
      </c>
      <c r="D15" s="12">
        <v>140298.30999999971</v>
      </c>
      <c r="E15" s="12">
        <v>978.1</v>
      </c>
      <c r="F15" s="12">
        <v>147693.1</v>
      </c>
      <c r="G15" s="12" t="s">
        <v>126</v>
      </c>
      <c r="H15" s="12">
        <v>890.55</v>
      </c>
      <c r="I15" s="12" t="str">
        <f t="shared" si="0"/>
        <v>Not in New Portfolio</v>
      </c>
      <c r="J15" s="12" t="str">
        <f t="shared" si="1"/>
        <v>Not in New Portfolio</v>
      </c>
      <c r="K15" s="12" t="str">
        <v>Sell</v>
      </c>
      <c r="L15" s="12" t="str">
        <f t="shared" si="2"/>
        <v>MAITHAN ALLOYS LTD.</v>
      </c>
      <c r="M15" s="12">
        <f t="shared" si="7"/>
        <v>151</v>
      </c>
      <c r="N15" s="12">
        <f t="shared" si="3"/>
        <v>147693.1</v>
      </c>
      <c r="O15" s="12" t="str">
        <f t="shared" si="4"/>
        <v/>
      </c>
      <c r="P15" s="12" t="str" cm="1">
        <f t="array" ref="P15:Q15">IF(I15="Not in New Portfolio", G15:H15, "")</f>
        <v>Refex Industries Ltd.</v>
      </c>
      <c r="Q15" s="12">
        <v>890.55</v>
      </c>
      <c r="R15" s="14">
        <f t="shared" ref="R15:R38" si="8">$D$36/Q15</f>
        <v>262.97508905233349</v>
      </c>
      <c r="S15" s="15">
        <f t="shared" ref="S15:S38" si="9">Q15*R15</f>
        <v>234192.46555555557</v>
      </c>
      <c r="T15" s="13" t="s">
        <v>123</v>
      </c>
      <c r="U15" s="15">
        <v>159611.25</v>
      </c>
    </row>
    <row r="16" spans="1:21" x14ac:dyDescent="0.3">
      <c r="A16" s="12" t="s">
        <v>127</v>
      </c>
      <c r="B16" s="12">
        <v>1279</v>
      </c>
      <c r="C16" s="12">
        <v>130.79743549649999</v>
      </c>
      <c r="D16" s="12">
        <v>167289.9200000235</v>
      </c>
      <c r="E16" s="12">
        <v>66.150000000000006</v>
      </c>
      <c r="F16" s="12">
        <v>84605.85</v>
      </c>
      <c r="G16" s="12" t="s">
        <v>128</v>
      </c>
      <c r="H16" s="12">
        <v>127.35</v>
      </c>
      <c r="I16" s="12" t="str">
        <f t="shared" si="0"/>
        <v>Not in New Portfolio</v>
      </c>
      <c r="J16" s="12" t="str">
        <f t="shared" si="1"/>
        <v>Not in New Portfolio</v>
      </c>
      <c r="K16" s="12" t="str">
        <v>Sell</v>
      </c>
      <c r="L16" s="12" t="str">
        <f t="shared" si="2"/>
        <v>MANALI PETROCHEMICAL LTD.</v>
      </c>
      <c r="M16" s="12">
        <f t="shared" si="7"/>
        <v>1279</v>
      </c>
      <c r="N16" s="12">
        <f t="shared" si="3"/>
        <v>84605.85</v>
      </c>
      <c r="O16" s="12" t="str">
        <f t="shared" si="4"/>
        <v/>
      </c>
      <c r="P16" s="12" t="str" cm="1">
        <f t="array" ref="P16:Q16">IF(I16="Not in New Portfolio", G16:H16, "")</f>
        <v>Indian Energy Exchange Ltd.</v>
      </c>
      <c r="Q16" s="12">
        <v>127.35</v>
      </c>
      <c r="R16" s="14">
        <f t="shared" si="8"/>
        <v>1838.9671421716184</v>
      </c>
      <c r="S16" s="15">
        <f t="shared" si="9"/>
        <v>234192.46555555559</v>
      </c>
      <c r="T16" s="13" t="s">
        <v>129</v>
      </c>
      <c r="U16" s="15">
        <v>234192.4656</v>
      </c>
    </row>
    <row r="17" spans="1:21" x14ac:dyDescent="0.3">
      <c r="A17" s="12" t="s">
        <v>130</v>
      </c>
      <c r="B17" s="12">
        <v>546</v>
      </c>
      <c r="C17" s="12">
        <v>257.7042490842</v>
      </c>
      <c r="D17" s="12">
        <v>140706.51999997321</v>
      </c>
      <c r="E17" s="12">
        <v>243.1</v>
      </c>
      <c r="F17" s="12">
        <v>132732.6</v>
      </c>
      <c r="G17" s="12" t="s">
        <v>131</v>
      </c>
      <c r="H17" s="12">
        <v>2680</v>
      </c>
      <c r="I17" s="12" t="str">
        <f t="shared" si="0"/>
        <v>Not in New Portfolio</v>
      </c>
      <c r="J17" s="12" t="str">
        <f t="shared" si="1"/>
        <v>Not in New Portfolio</v>
      </c>
      <c r="K17" s="12" t="str">
        <v>Sell</v>
      </c>
      <c r="L17" s="12" t="str">
        <f t="shared" si="2"/>
        <v>MONARCH NETWORTH CAPITAL LTD</v>
      </c>
      <c r="M17" s="12">
        <f t="shared" si="7"/>
        <v>546</v>
      </c>
      <c r="N17" s="12">
        <f t="shared" si="3"/>
        <v>132732.6</v>
      </c>
      <c r="O17" s="12" t="str">
        <f t="shared" si="4"/>
        <v/>
      </c>
      <c r="P17" s="12" t="str" cm="1">
        <f t="array" ref="P17:Q17">IF(I17="Not in New Portfolio", G17:H17, "")</f>
        <v>Shilchar Technologies Ltd.</v>
      </c>
      <c r="Q17" s="12">
        <v>2680</v>
      </c>
      <c r="R17" s="14">
        <f t="shared" si="8"/>
        <v>87.385248341625228</v>
      </c>
      <c r="S17" s="15">
        <f t="shared" si="9"/>
        <v>234192.46555555562</v>
      </c>
      <c r="T17" s="13" t="s">
        <v>132</v>
      </c>
      <c r="U17" s="15">
        <v>234192.4656</v>
      </c>
    </row>
    <row r="18" spans="1:21" x14ac:dyDescent="0.3">
      <c r="A18" s="12" t="s">
        <v>133</v>
      </c>
      <c r="B18" s="12">
        <v>588</v>
      </c>
      <c r="C18" s="12">
        <v>247.5455782313</v>
      </c>
      <c r="D18" s="12">
        <v>145556.80000000441</v>
      </c>
      <c r="E18" s="12">
        <v>227.4</v>
      </c>
      <c r="F18" s="12">
        <v>133711.20000000001</v>
      </c>
      <c r="G18" s="12" t="s">
        <v>134</v>
      </c>
      <c r="H18" s="12">
        <v>3630</v>
      </c>
      <c r="I18" s="12" t="str">
        <f t="shared" si="0"/>
        <v>Not in New Portfolio</v>
      </c>
      <c r="J18" s="12" t="str">
        <f t="shared" si="1"/>
        <v>Not in New Portfolio</v>
      </c>
      <c r="K18" s="12" t="str">
        <v>Sell</v>
      </c>
      <c r="L18" s="12" t="str">
        <f t="shared" si="2"/>
        <v>NEW DELHI TELEVISION LTD.</v>
      </c>
      <c r="M18" s="12">
        <f t="shared" si="7"/>
        <v>588</v>
      </c>
      <c r="N18" s="12">
        <f t="shared" si="3"/>
        <v>133711.20000000001</v>
      </c>
      <c r="O18" s="12" t="str">
        <f t="shared" si="4"/>
        <v/>
      </c>
      <c r="P18" s="12" t="str" cm="1">
        <f t="array" ref="P18:Q18">IF(I18="Not in New Portfolio", G18:H18, "")</f>
        <v>Apar Industries Ltd.</v>
      </c>
      <c r="Q18" s="12">
        <v>3630</v>
      </c>
      <c r="R18" s="14">
        <f t="shared" si="8"/>
        <v>64.515830731558012</v>
      </c>
      <c r="S18" s="15">
        <f t="shared" si="9"/>
        <v>234192.46555555559</v>
      </c>
      <c r="T18" s="13" t="s">
        <v>135</v>
      </c>
      <c r="U18" s="15">
        <v>234192.4656</v>
      </c>
    </row>
    <row r="19" spans="1:21" x14ac:dyDescent="0.3">
      <c r="A19" s="12" t="s">
        <v>136</v>
      </c>
      <c r="B19" s="12">
        <v>113</v>
      </c>
      <c r="C19" s="12">
        <v>1463.1668141593</v>
      </c>
      <c r="D19" s="12">
        <v>165337.85000000091</v>
      </c>
      <c r="E19" s="12">
        <v>918.65</v>
      </c>
      <c r="F19" s="12">
        <v>103807.45</v>
      </c>
      <c r="G19" s="12" t="s">
        <v>137</v>
      </c>
      <c r="H19" s="12">
        <v>1493.85</v>
      </c>
      <c r="I19" s="12" t="str">
        <f t="shared" si="0"/>
        <v>Not in New Portfolio</v>
      </c>
      <c r="J19" s="12" t="str">
        <f t="shared" si="1"/>
        <v>Not in New Portfolio</v>
      </c>
      <c r="K19" s="12" t="str">
        <v>Sell</v>
      </c>
      <c r="L19" s="12" t="str">
        <f t="shared" si="2"/>
        <v>PUNJAB CHEMICALS AND CROP PROTECTION LTD.</v>
      </c>
      <c r="M19" s="12">
        <f t="shared" si="7"/>
        <v>113</v>
      </c>
      <c r="N19" s="12">
        <f t="shared" si="3"/>
        <v>103807.45</v>
      </c>
      <c r="O19" s="12" t="str">
        <f t="shared" si="4"/>
        <v/>
      </c>
      <c r="P19" s="12" t="str" cm="1">
        <f t="array" ref="P19:Q19">IF(I19="Not in New Portfolio", G19:H19, "")</f>
        <v>Angel One Ltd.</v>
      </c>
      <c r="Q19" s="12">
        <v>1493.85</v>
      </c>
      <c r="R19" s="14">
        <f t="shared" si="8"/>
        <v>156.7710717646053</v>
      </c>
      <c r="S19" s="15">
        <f t="shared" si="9"/>
        <v>234192.46555555559</v>
      </c>
      <c r="T19" s="13" t="s">
        <v>138</v>
      </c>
      <c r="U19" s="15">
        <v>234192.4656</v>
      </c>
    </row>
    <row r="20" spans="1:21" x14ac:dyDescent="0.3">
      <c r="A20" s="12" t="s">
        <v>139</v>
      </c>
      <c r="B20" s="12">
        <v>116</v>
      </c>
      <c r="C20" s="12">
        <v>1192.8689655172</v>
      </c>
      <c r="D20" s="12">
        <v>138372.79999999519</v>
      </c>
      <c r="E20" s="12">
        <v>1307.25</v>
      </c>
      <c r="F20" s="12">
        <v>151641</v>
      </c>
      <c r="G20" s="12" t="s">
        <v>140</v>
      </c>
      <c r="H20" s="12">
        <v>2845.3</v>
      </c>
      <c r="I20" s="12" t="str">
        <f t="shared" si="0"/>
        <v>Not in New Portfolio</v>
      </c>
      <c r="J20" s="12" t="str">
        <f t="shared" si="1"/>
        <v>In New Portfolio</v>
      </c>
      <c r="K20" s="12" t="str">
        <v>Hold</v>
      </c>
      <c r="L20" s="12" t="str">
        <f t="shared" si="2"/>
        <v/>
      </c>
      <c r="M20" s="12"/>
      <c r="N20" s="12">
        <f t="shared" si="3"/>
        <v>0</v>
      </c>
      <c r="O20" s="12" t="str">
        <f t="shared" si="4"/>
        <v>SHARE INDIA SECURITIES LTD</v>
      </c>
      <c r="P20" s="12" t="str" cm="1">
        <f t="array" ref="P20:Q20">IF(I20="Not in New Portfolio", G20:H20, "")</f>
        <v>Ingersoll-Rand (India) Ltd.</v>
      </c>
      <c r="Q20" s="12">
        <v>2845.3</v>
      </c>
      <c r="R20" s="14">
        <f t="shared" si="8"/>
        <v>82.308531808791898</v>
      </c>
      <c r="S20" s="15">
        <f t="shared" si="9"/>
        <v>234192.46555555559</v>
      </c>
      <c r="T20" s="13" t="s">
        <v>141</v>
      </c>
      <c r="U20" s="15">
        <v>234192.4656</v>
      </c>
    </row>
    <row r="21" spans="1:21" x14ac:dyDescent="0.3">
      <c r="A21" s="12" t="s">
        <v>142</v>
      </c>
      <c r="B21" s="12">
        <v>5961</v>
      </c>
      <c r="C21" s="12">
        <v>23.852603590000001</v>
      </c>
      <c r="D21" s="12">
        <v>142185.36999999001</v>
      </c>
      <c r="E21" s="12">
        <v>19.600000000000001</v>
      </c>
      <c r="F21" s="12">
        <v>116835.6</v>
      </c>
      <c r="G21" s="12" t="s">
        <v>143</v>
      </c>
      <c r="H21" s="12">
        <v>499.95</v>
      </c>
      <c r="I21" s="12" t="str">
        <f t="shared" si="0"/>
        <v>Not in New Portfolio</v>
      </c>
      <c r="J21" s="12" t="str">
        <f t="shared" si="1"/>
        <v>Not in New Portfolio</v>
      </c>
      <c r="K21" s="12" t="str">
        <v>Sell</v>
      </c>
      <c r="L21" s="12" t="str">
        <f t="shared" si="2"/>
        <v>SHYAM CENTURY FERROUS LTD</v>
      </c>
      <c r="M21" s="12">
        <f>F21/E21</f>
        <v>5961</v>
      </c>
      <c r="N21" s="12">
        <f t="shared" si="3"/>
        <v>116835.6</v>
      </c>
      <c r="O21" s="12" t="str">
        <f t="shared" si="4"/>
        <v/>
      </c>
      <c r="P21" s="12" t="str" cm="1">
        <f t="array" ref="P21:Q21">IF(I21="Not in New Portfolio", G21:H21, "")</f>
        <v>Archean Chemical Industries Ltd.</v>
      </c>
      <c r="Q21" s="12">
        <v>499.95</v>
      </c>
      <c r="R21" s="14">
        <f t="shared" si="8"/>
        <v>468.43177428854005</v>
      </c>
      <c r="S21" s="15">
        <f t="shared" si="9"/>
        <v>234192.46555555559</v>
      </c>
      <c r="T21" s="13" t="s">
        <v>144</v>
      </c>
      <c r="U21" s="15">
        <v>234192.4656</v>
      </c>
    </row>
    <row r="22" spans="1:21" x14ac:dyDescent="0.3">
      <c r="A22" s="12" t="s">
        <v>145</v>
      </c>
      <c r="B22" s="12">
        <v>277</v>
      </c>
      <c r="C22" s="12">
        <v>598.18610108300004</v>
      </c>
      <c r="D22" s="12">
        <v>165697.549999991</v>
      </c>
      <c r="E22" s="12">
        <v>1009.45</v>
      </c>
      <c r="F22" s="12">
        <v>279617.65000000002</v>
      </c>
      <c r="G22" s="12" t="s">
        <v>110</v>
      </c>
      <c r="H22" s="12">
        <v>40.5</v>
      </c>
      <c r="I22" s="12" t="str">
        <f t="shared" si="0"/>
        <v>In New Portfolio</v>
      </c>
      <c r="J22" s="12" t="str">
        <f t="shared" si="1"/>
        <v>Not in New Portfolio</v>
      </c>
      <c r="K22" s="12" t="str">
        <v>Sell</v>
      </c>
      <c r="L22" s="12" t="str">
        <f t="shared" si="2"/>
        <v>SONATA SOFTWARE LTD.</v>
      </c>
      <c r="M22" s="12">
        <f>F22/E22</f>
        <v>277</v>
      </c>
      <c r="N22" s="12">
        <f t="shared" si="3"/>
        <v>279617.65000000002</v>
      </c>
      <c r="O22" s="12" t="str">
        <f t="shared" si="4"/>
        <v/>
      </c>
      <c r="P22" s="12" t="str" cm="1">
        <f t="array" ref="P22">IF(I22="Not in New Portfolio", G22:H22, "")</f>
        <v/>
      </c>
      <c r="Q22" s="12"/>
      <c r="R22" s="14"/>
      <c r="S22" s="13">
        <v>0</v>
      </c>
      <c r="T22" s="13" t="s">
        <v>146</v>
      </c>
      <c r="U22" s="15">
        <v>234192.4656</v>
      </c>
    </row>
    <row r="23" spans="1:21" x14ac:dyDescent="0.3">
      <c r="A23" s="12" t="s">
        <v>147</v>
      </c>
      <c r="B23" s="12">
        <v>159</v>
      </c>
      <c r="C23" s="12">
        <v>918.58704402520004</v>
      </c>
      <c r="D23" s="12">
        <v>146055.34000000681</v>
      </c>
      <c r="E23" s="12">
        <v>850.35</v>
      </c>
      <c r="F23" s="12">
        <v>135205.65</v>
      </c>
      <c r="G23" s="12" t="s">
        <v>148</v>
      </c>
      <c r="H23" s="12">
        <v>1188</v>
      </c>
      <c r="I23" s="12" t="str">
        <f t="shared" si="0"/>
        <v>Not in New Portfolio</v>
      </c>
      <c r="J23" s="12" t="str">
        <f t="shared" si="1"/>
        <v>Not in New Portfolio</v>
      </c>
      <c r="K23" s="12" t="str">
        <v>Sell</v>
      </c>
      <c r="L23" s="12" t="str">
        <f t="shared" si="2"/>
        <v>SPORTKING INDIA LTD</v>
      </c>
      <c r="M23" s="12">
        <f>F23/E23</f>
        <v>159</v>
      </c>
      <c r="N23" s="12">
        <f t="shared" si="3"/>
        <v>135205.65</v>
      </c>
      <c r="O23" s="12" t="str">
        <f t="shared" si="4"/>
        <v/>
      </c>
      <c r="P23" s="12" t="str" cm="1">
        <f t="array" ref="P23:Q23">IF(I23="Not in New Portfolio", G23:H23, "")</f>
        <v>Knowledge Marine &amp; Engineering Works Ltd.</v>
      </c>
      <c r="Q23" s="12">
        <v>1188</v>
      </c>
      <c r="R23" s="14">
        <f t="shared" ref="R23:R38" si="10">$D$36/Q23</f>
        <v>197.13170501309392</v>
      </c>
      <c r="S23" s="15">
        <f t="shared" ref="S23:S38" si="11">Q23*R23</f>
        <v>234192.46555555557</v>
      </c>
      <c r="T23" s="13" t="s">
        <v>139</v>
      </c>
      <c r="U23" s="15">
        <v>138372.79999999999</v>
      </c>
    </row>
    <row r="24" spans="1:21" x14ac:dyDescent="0.3">
      <c r="A24" s="12" t="s">
        <v>149</v>
      </c>
      <c r="B24" s="12">
        <v>150</v>
      </c>
      <c r="C24" s="12">
        <v>1110.0989999999999</v>
      </c>
      <c r="D24" s="12">
        <v>166514.85</v>
      </c>
      <c r="E24" s="12">
        <v>1070.3499999999999</v>
      </c>
      <c r="F24" s="12">
        <v>160552.5</v>
      </c>
      <c r="G24" s="12" t="s">
        <v>150</v>
      </c>
      <c r="H24" s="12">
        <v>1930.2</v>
      </c>
      <c r="I24" s="12" t="str">
        <f t="shared" si="0"/>
        <v>In New Portfolio</v>
      </c>
      <c r="J24" s="12" t="str">
        <f t="shared" si="1"/>
        <v>Not in New Portfolio</v>
      </c>
      <c r="K24" s="12" t="str">
        <v>Sell</v>
      </c>
      <c r="L24" s="12" t="str">
        <f t="shared" si="2"/>
        <v>STYRENIX PERFORMANCE MATERIALS LTD</v>
      </c>
      <c r="M24" s="12">
        <f>F24/E24</f>
        <v>150</v>
      </c>
      <c r="N24" s="12">
        <f t="shared" si="3"/>
        <v>160552.5</v>
      </c>
      <c r="O24" s="12" t="str">
        <f t="shared" si="4"/>
        <v/>
      </c>
      <c r="P24" s="12" t="str" cm="1">
        <f t="array" ref="P24">IF(I24="Not in New Portfolio", G24:H24, "")</f>
        <v/>
      </c>
      <c r="Q24" s="12"/>
      <c r="R24" s="14"/>
      <c r="S24" s="13">
        <v>0</v>
      </c>
      <c r="T24" s="13" t="s">
        <v>151</v>
      </c>
      <c r="U24" s="15">
        <v>234192.4656</v>
      </c>
    </row>
    <row r="25" spans="1:21" x14ac:dyDescent="0.3">
      <c r="A25" s="12" t="s">
        <v>152</v>
      </c>
      <c r="B25" s="12">
        <v>406</v>
      </c>
      <c r="C25" s="12">
        <v>385.56051724140002</v>
      </c>
      <c r="D25" s="12">
        <v>156537.57000000839</v>
      </c>
      <c r="E25" s="12">
        <v>444.7</v>
      </c>
      <c r="F25" s="12">
        <v>180548.2</v>
      </c>
      <c r="G25" s="12" t="s">
        <v>153</v>
      </c>
      <c r="H25" s="12">
        <v>6392.05</v>
      </c>
      <c r="I25" s="12" t="str">
        <f t="shared" si="0"/>
        <v>In New Portfolio</v>
      </c>
      <c r="J25" s="12" t="str">
        <f t="shared" si="1"/>
        <v>In New Portfolio</v>
      </c>
      <c r="K25" s="12" t="str">
        <v>Hold</v>
      </c>
      <c r="L25" s="12" t="str">
        <f t="shared" si="2"/>
        <v/>
      </c>
      <c r="M25" s="12"/>
      <c r="N25" s="12">
        <f t="shared" si="3"/>
        <v>0</v>
      </c>
      <c r="O25" s="12" t="str">
        <f t="shared" si="4"/>
        <v>SUPREME PETROCHEM LTD.</v>
      </c>
      <c r="P25" s="12" t="str" cm="1">
        <f t="array" ref="P25">IF(I25="Not in New Portfolio", G25:H25, "")</f>
        <v/>
      </c>
      <c r="Q25" s="12"/>
      <c r="R25" s="14"/>
      <c r="S25" s="13">
        <v>0</v>
      </c>
      <c r="T25" s="13" t="s">
        <v>154</v>
      </c>
      <c r="U25" s="15">
        <v>156537.57</v>
      </c>
    </row>
    <row r="26" spans="1:21" x14ac:dyDescent="0.3">
      <c r="A26" s="12" t="s">
        <v>155</v>
      </c>
      <c r="B26" s="12">
        <v>301</v>
      </c>
      <c r="C26" s="12">
        <v>466.94916943520002</v>
      </c>
      <c r="D26" s="12">
        <v>140551.69999999521</v>
      </c>
      <c r="E26" s="12">
        <v>485.85</v>
      </c>
      <c r="F26" s="12">
        <v>146240.85</v>
      </c>
      <c r="G26" s="12" t="s">
        <v>139</v>
      </c>
      <c r="H26" s="12">
        <v>1307.25</v>
      </c>
      <c r="I26" s="12" t="str">
        <f t="shared" si="0"/>
        <v>In New Portfolio</v>
      </c>
      <c r="J26" s="12" t="str">
        <f t="shared" si="1"/>
        <v>Not in New Portfolio</v>
      </c>
      <c r="K26" s="12" t="str">
        <v>Sell</v>
      </c>
      <c r="L26" s="12" t="str">
        <f t="shared" si="2"/>
        <v>SUVEN PHARMACEUTICALS LTD</v>
      </c>
      <c r="M26" s="12">
        <f>F26/E26</f>
        <v>301</v>
      </c>
      <c r="N26" s="12">
        <f t="shared" si="3"/>
        <v>146240.85</v>
      </c>
      <c r="O26" s="12" t="str">
        <f t="shared" si="4"/>
        <v/>
      </c>
      <c r="P26" s="12" t="str" cm="1">
        <f t="array" ref="P26">IF(I26="Not in New Portfolio", G26:H26, "")</f>
        <v/>
      </c>
      <c r="Q26" s="12"/>
      <c r="R26" s="14"/>
      <c r="S26" s="13">
        <v>0</v>
      </c>
      <c r="T26" s="13" t="s">
        <v>156</v>
      </c>
      <c r="U26" s="15">
        <v>234192.4656</v>
      </c>
    </row>
    <row r="27" spans="1:21" x14ac:dyDescent="0.3">
      <c r="A27" s="12" t="s">
        <v>157</v>
      </c>
      <c r="B27" s="12">
        <v>116</v>
      </c>
      <c r="C27" s="12">
        <v>1431.9443965517</v>
      </c>
      <c r="D27" s="12">
        <v>166105.54999999719</v>
      </c>
      <c r="E27" s="12">
        <v>2131.4</v>
      </c>
      <c r="F27" s="12">
        <v>247242.4</v>
      </c>
      <c r="G27" s="12" t="s">
        <v>158</v>
      </c>
      <c r="H27" s="12">
        <v>504.05</v>
      </c>
      <c r="I27" s="12" t="str">
        <f t="shared" si="0"/>
        <v>Not in New Portfolio</v>
      </c>
      <c r="J27" s="12" t="str">
        <f t="shared" si="1"/>
        <v>In New Portfolio</v>
      </c>
      <c r="K27" s="12" t="str">
        <v>Hold</v>
      </c>
      <c r="L27" s="12" t="str">
        <f t="shared" si="2"/>
        <v/>
      </c>
      <c r="M27" s="12">
        <f>F27/E27</f>
        <v>115.99999999999999</v>
      </c>
      <c r="N27" s="12">
        <f t="shared" si="3"/>
        <v>247242.4</v>
      </c>
      <c r="O27" s="12" t="str">
        <f t="shared" si="4"/>
        <v>SWARAJ ENGINES LTD.</v>
      </c>
      <c r="P27" s="12" t="str" cm="1">
        <f t="array" ref="P27:Q27">IF(I27="Not in New Portfolio", G27:H27, "")</f>
        <v>Steelcast Ltd.</v>
      </c>
      <c r="Q27" s="12">
        <v>504.05</v>
      </c>
      <c r="R27" s="14">
        <f t="shared" ref="R27:R38" si="12">$D$36/Q27</f>
        <v>464.62149698552838</v>
      </c>
      <c r="S27" s="15">
        <f t="shared" ref="S27:S38" si="13">Q27*R27</f>
        <v>234192.46555555559</v>
      </c>
      <c r="T27" s="13" t="s">
        <v>159</v>
      </c>
      <c r="U27" s="15">
        <v>234192.4656</v>
      </c>
    </row>
    <row r="28" spans="1:21" x14ac:dyDescent="0.3">
      <c r="A28" s="12" t="s">
        <v>160</v>
      </c>
      <c r="B28" s="12">
        <v>89</v>
      </c>
      <c r="C28" s="12">
        <v>1628.5773033708001</v>
      </c>
      <c r="D28" s="12">
        <v>144943.3800000012</v>
      </c>
      <c r="E28" s="12">
        <v>1792.05</v>
      </c>
      <c r="F28" s="12">
        <v>159492.45000000001</v>
      </c>
      <c r="G28" s="12" t="s">
        <v>161</v>
      </c>
      <c r="H28" s="12">
        <v>1314.1</v>
      </c>
      <c r="I28" s="12" t="str">
        <f t="shared" si="0"/>
        <v>Not in New Portfolio</v>
      </c>
      <c r="J28" s="12" t="str">
        <f t="shared" si="1"/>
        <v>In New Portfolio</v>
      </c>
      <c r="K28" s="12" t="str">
        <v>Hold</v>
      </c>
      <c r="L28" s="12" t="str">
        <f t="shared" si="2"/>
        <v/>
      </c>
      <c r="M28" s="12"/>
      <c r="N28" s="12">
        <f t="shared" si="3"/>
        <v>0</v>
      </c>
      <c r="O28" s="12" t="str">
        <f t="shared" si="4"/>
        <v>TAAL ENTERPRISES LTD</v>
      </c>
      <c r="P28" s="12" t="str" cm="1">
        <f t="array" ref="P28:Q28">IF(I28="Not in New Portfolio", G28:H28, "")</f>
        <v>Clean Science And Technology Ltd.</v>
      </c>
      <c r="Q28" s="12">
        <v>1314.1</v>
      </c>
      <c r="R28" s="14">
        <f t="shared" si="12"/>
        <v>178.21510201320723</v>
      </c>
      <c r="S28" s="15">
        <f t="shared" si="13"/>
        <v>234192.46555555559</v>
      </c>
      <c r="T28" s="13" t="s">
        <v>162</v>
      </c>
      <c r="U28" s="15">
        <v>166105.54999999999</v>
      </c>
    </row>
    <row r="29" spans="1:21" x14ac:dyDescent="0.3">
      <c r="A29" s="12" t="s">
        <v>163</v>
      </c>
      <c r="B29" s="12">
        <v>282</v>
      </c>
      <c r="C29" s="12">
        <v>514.31656028370003</v>
      </c>
      <c r="D29" s="12">
        <v>145037.27000000339</v>
      </c>
      <c r="E29" s="12">
        <v>1930.2</v>
      </c>
      <c r="F29" s="12">
        <v>544316.4</v>
      </c>
      <c r="G29" s="12" t="s">
        <v>160</v>
      </c>
      <c r="H29" s="12">
        <v>1792.05</v>
      </c>
      <c r="I29" s="12" t="str">
        <f t="shared" si="0"/>
        <v>In New Portfolio</v>
      </c>
      <c r="J29" s="12" t="str">
        <f t="shared" si="1"/>
        <v>In New Portfolio</v>
      </c>
      <c r="K29" s="12" t="str">
        <v>Hold</v>
      </c>
      <c r="L29" s="12" t="str">
        <f t="shared" si="2"/>
        <v/>
      </c>
      <c r="M29" s="12">
        <f>F29/E29</f>
        <v>282</v>
      </c>
      <c r="N29" s="12">
        <f t="shared" si="3"/>
        <v>544316.4</v>
      </c>
      <c r="O29" s="12" t="str">
        <f t="shared" si="4"/>
        <v>TANFAC INDUSTRIES LTD.</v>
      </c>
      <c r="P29" s="12" t="str" cm="1">
        <f t="array" ref="P29">IF(I29="Not in New Portfolio", G29:H29, "")</f>
        <v/>
      </c>
      <c r="Q29" s="12"/>
      <c r="R29" s="14"/>
      <c r="S29" s="13">
        <v>0</v>
      </c>
      <c r="T29" s="13" t="s">
        <v>160</v>
      </c>
      <c r="U29" s="15">
        <v>144943.38</v>
      </c>
    </row>
    <row r="30" spans="1:21" x14ac:dyDescent="0.3">
      <c r="A30" s="12" t="s">
        <v>164</v>
      </c>
      <c r="B30" s="12">
        <v>188</v>
      </c>
      <c r="C30" s="12">
        <v>884.00175531909997</v>
      </c>
      <c r="D30" s="12">
        <v>166192.32999999079</v>
      </c>
      <c r="E30" s="12">
        <v>517.95000000000005</v>
      </c>
      <c r="F30" s="12">
        <v>97374.6</v>
      </c>
      <c r="G30" s="12" t="s">
        <v>165</v>
      </c>
      <c r="H30" s="12">
        <v>444.7</v>
      </c>
      <c r="I30" s="12" t="str">
        <f t="shared" si="0"/>
        <v>In New Portfolio</v>
      </c>
      <c r="J30" s="12" t="str">
        <f t="shared" si="1"/>
        <v>Not in New Portfolio</v>
      </c>
      <c r="K30" s="12" t="str">
        <v>Sell</v>
      </c>
      <c r="L30" s="12" t="str">
        <f t="shared" si="2"/>
        <v>THYROCARE TECHNOLOGIES LTD</v>
      </c>
      <c r="M30" s="12">
        <f>F30/E30</f>
        <v>188</v>
      </c>
      <c r="N30" s="12">
        <f t="shared" si="3"/>
        <v>97374.6</v>
      </c>
      <c r="O30" s="12" t="str">
        <f t="shared" si="4"/>
        <v/>
      </c>
      <c r="P30" s="12" t="str" cm="1">
        <f t="array" ref="P30">IF(I30="Not in New Portfolio", G30:H30, "")</f>
        <v/>
      </c>
      <c r="Q30" s="12"/>
      <c r="R30" s="14"/>
      <c r="S30" s="13">
        <v>0</v>
      </c>
      <c r="T30" s="13" t="s">
        <v>166</v>
      </c>
      <c r="U30" s="15">
        <v>145037.26999999999</v>
      </c>
    </row>
    <row r="31" spans="1:21" x14ac:dyDescent="0.3">
      <c r="A31" s="12" t="s">
        <v>167</v>
      </c>
      <c r="B31" s="12">
        <v>424</v>
      </c>
      <c r="C31" s="12">
        <v>330.95271226419999</v>
      </c>
      <c r="D31" s="12">
        <v>140323.95000002079</v>
      </c>
      <c r="E31" s="12">
        <v>333.6</v>
      </c>
      <c r="F31" s="12">
        <v>141446.39999999999</v>
      </c>
      <c r="G31" s="12" t="s">
        <v>168</v>
      </c>
      <c r="H31" s="12">
        <v>2316.5500000000002</v>
      </c>
      <c r="I31" s="12" t="str">
        <f t="shared" si="0"/>
        <v>In New Portfolio</v>
      </c>
      <c r="J31" s="12" t="str">
        <f t="shared" si="1"/>
        <v>Not in New Portfolio</v>
      </c>
      <c r="K31" s="12" t="str">
        <v>Sell</v>
      </c>
      <c r="L31" s="12" t="str">
        <f t="shared" si="2"/>
        <v>TINPLATE COMPANY OF INDIA LTD.</v>
      </c>
      <c r="M31" s="12">
        <f>F31/E31</f>
        <v>423.99999999999994</v>
      </c>
      <c r="N31" s="12">
        <f t="shared" si="3"/>
        <v>141446.39999999999</v>
      </c>
      <c r="O31" s="12" t="str">
        <f t="shared" si="4"/>
        <v/>
      </c>
      <c r="P31" s="12" t="str" cm="1">
        <f t="array" ref="P31">IF(I31="Not in New Portfolio", G31:H31, "")</f>
        <v/>
      </c>
      <c r="Q31" s="12"/>
      <c r="R31" s="14"/>
      <c r="S31" s="13">
        <v>0</v>
      </c>
      <c r="T31" s="13" t="s">
        <v>169</v>
      </c>
      <c r="U31" s="15">
        <v>234192.4656</v>
      </c>
    </row>
    <row r="32" spans="1:21" x14ac:dyDescent="0.3">
      <c r="A32" s="12" t="s">
        <v>170</v>
      </c>
      <c r="B32" s="12">
        <v>770</v>
      </c>
      <c r="C32" s="12">
        <v>185.89437662340001</v>
      </c>
      <c r="D32" s="12">
        <v>143138.670000018</v>
      </c>
      <c r="E32" s="12">
        <v>267.2</v>
      </c>
      <c r="F32" s="12">
        <v>205744</v>
      </c>
      <c r="G32" s="12" t="s">
        <v>171</v>
      </c>
      <c r="H32" s="12">
        <v>46.45</v>
      </c>
      <c r="I32" s="12" t="str">
        <f t="shared" si="0"/>
        <v>Not in New Portfolio</v>
      </c>
      <c r="J32" s="12" t="str">
        <f t="shared" si="1"/>
        <v>In New Portfolio</v>
      </c>
      <c r="K32" s="12" t="str">
        <v>Hold</v>
      </c>
      <c r="L32" s="12" t="str">
        <f t="shared" si="2"/>
        <v/>
      </c>
      <c r="M32" s="12">
        <f>F32/E32</f>
        <v>770</v>
      </c>
      <c r="N32" s="12">
        <f t="shared" si="3"/>
        <v>205744</v>
      </c>
      <c r="O32" s="12" t="str">
        <f t="shared" si="4"/>
        <v>TIPS INDUSTRIES LTD.</v>
      </c>
      <c r="P32" s="12" t="str" cm="1">
        <f t="array" ref="P32:Q32">IF(I32="Not in New Portfolio", G32:H32, "")</f>
        <v>Dolat Algotech Ltd.</v>
      </c>
      <c r="Q32" s="12">
        <v>46.45</v>
      </c>
      <c r="R32" s="14">
        <f t="shared" ref="R32:R38" si="14">$D$36/Q32</f>
        <v>5041.8184188494206</v>
      </c>
      <c r="S32" s="15">
        <f t="shared" ref="S32:S38" si="15">Q32*R32</f>
        <v>234192.46555555559</v>
      </c>
      <c r="T32" s="13" t="s">
        <v>172</v>
      </c>
      <c r="U32" s="15">
        <v>143138.67000000001</v>
      </c>
    </row>
    <row r="33" spans="1:21" x14ac:dyDescent="0.3">
      <c r="A33" s="12" t="s">
        <v>173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3"/>
      <c r="T33" s="13"/>
      <c r="U33" s="13"/>
    </row>
    <row r="34" spans="1:21" x14ac:dyDescent="0.3">
      <c r="A34" s="13"/>
      <c r="B34" s="13"/>
      <c r="C34" s="16" t="s">
        <v>174</v>
      </c>
      <c r="D34" s="35">
        <f>SUM(D3:D32)</f>
        <v>4556981.4800001336</v>
      </c>
      <c r="E34" s="13"/>
      <c r="F34" s="36">
        <v>5062739.43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5"/>
      <c r="S34" s="38">
        <f>SUM(S3:S32)</f>
        <v>4215464.3800000008</v>
      </c>
      <c r="T34" s="13" t="s">
        <v>175</v>
      </c>
      <c r="U34" s="39">
        <f>SUM(U3:U32)</f>
        <v>5995942.0107999966</v>
      </c>
    </row>
    <row r="35" spans="1:21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37">
        <f>SUM(N3:N32)</f>
        <v>4215464.3800000008</v>
      </c>
      <c r="O35" s="13"/>
      <c r="P35" s="13"/>
      <c r="Q35" s="13"/>
      <c r="R35" s="13"/>
      <c r="S35" s="13"/>
      <c r="T35" s="13"/>
      <c r="U35" s="13"/>
    </row>
    <row r="36" spans="1:21" x14ac:dyDescent="0.3">
      <c r="A36" s="13"/>
      <c r="B36" s="13"/>
      <c r="C36" s="17" t="s">
        <v>176</v>
      </c>
      <c r="D36" s="36">
        <f>N35/18</f>
        <v>234192.46555555559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spans="1:21" x14ac:dyDescent="0.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spans="1:21" x14ac:dyDescent="0.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8D9A-B2E9-4185-A9E4-849828B93ECF}">
  <dimension ref="A1:V35"/>
  <sheetViews>
    <sheetView workbookViewId="0">
      <selection activeCell="V1" sqref="V1"/>
    </sheetView>
  </sheetViews>
  <sheetFormatPr defaultRowHeight="14.4" x14ac:dyDescent="0.3"/>
  <cols>
    <col min="1" max="1" width="55.21875" customWidth="1"/>
    <col min="3" max="3" width="29.44140625" customWidth="1"/>
    <col min="4" max="4" width="13.33203125" customWidth="1"/>
    <col min="5" max="5" width="22.6640625" customWidth="1"/>
    <col min="6" max="6" width="22.88671875" customWidth="1"/>
    <col min="7" max="7" width="39.77734375" customWidth="1"/>
    <col min="8" max="8" width="12.6640625" customWidth="1"/>
    <col min="9" max="9" width="34.44140625" customWidth="1"/>
    <col min="10" max="10" width="26.21875" customWidth="1"/>
    <col min="12" max="12" width="56.109375" customWidth="1"/>
    <col min="13" max="13" width="26.21875" customWidth="1"/>
    <col min="14" max="14" width="22.6640625" customWidth="1"/>
    <col min="15" max="15" width="20.109375" customWidth="1"/>
    <col min="16" max="17" width="39.33203125" customWidth="1"/>
    <col min="18" max="18" width="24.21875" customWidth="1"/>
    <col min="19" max="19" width="27.21875" customWidth="1"/>
    <col min="20" max="20" width="21.77734375" customWidth="1"/>
    <col min="21" max="21" width="50.5546875" style="13" customWidth="1"/>
    <col min="22" max="22" width="18.109375" customWidth="1"/>
  </cols>
  <sheetData>
    <row r="1" spans="1:22" ht="16.2" thickBot="1" x14ac:dyDescent="0.35">
      <c r="A1" s="23" t="s">
        <v>177</v>
      </c>
      <c r="B1" s="24" t="s">
        <v>178</v>
      </c>
      <c r="C1" s="25" t="s">
        <v>73</v>
      </c>
      <c r="D1" s="24" t="s">
        <v>74</v>
      </c>
      <c r="E1" s="24" t="s">
        <v>75</v>
      </c>
      <c r="F1" s="24" t="s">
        <v>76</v>
      </c>
      <c r="G1" s="25" t="s">
        <v>77</v>
      </c>
      <c r="H1" s="24" t="s">
        <v>78</v>
      </c>
      <c r="I1" s="25" t="s">
        <v>79</v>
      </c>
      <c r="J1" s="25" t="s">
        <v>80</v>
      </c>
      <c r="K1" s="26" t="s">
        <v>81</v>
      </c>
      <c r="L1" s="25" t="s">
        <v>179</v>
      </c>
      <c r="M1" s="25" t="s">
        <v>180</v>
      </c>
      <c r="N1" s="25" t="s">
        <v>75</v>
      </c>
      <c r="O1" s="25" t="s">
        <v>181</v>
      </c>
      <c r="P1" s="25" t="s">
        <v>182</v>
      </c>
      <c r="Q1" s="25" t="s">
        <v>183</v>
      </c>
      <c r="R1" s="25" t="s">
        <v>87</v>
      </c>
      <c r="S1" s="25" t="s">
        <v>184</v>
      </c>
      <c r="T1" s="27" t="s">
        <v>185</v>
      </c>
      <c r="U1" s="28" t="s">
        <v>186</v>
      </c>
      <c r="V1" s="29" t="s">
        <v>91</v>
      </c>
    </row>
    <row r="2" spans="1:22" ht="15" thickTop="1" x14ac:dyDescent="0.3">
      <c r="A2" t="s">
        <v>92</v>
      </c>
      <c r="B2">
        <v>861</v>
      </c>
      <c r="C2">
        <v>139.65538908249999</v>
      </c>
      <c r="D2">
        <v>120243.2900000325</v>
      </c>
      <c r="E2">
        <v>65.59</v>
      </c>
      <c r="F2">
        <v>56472.99</v>
      </c>
      <c r="G2" t="s">
        <v>93</v>
      </c>
      <c r="H2">
        <v>1103.3</v>
      </c>
      <c r="I2" t="str">
        <f>IF(ISNA(VLOOKUP(G2,$A$2:$A$31,1,FALSE)),"Not in New Portfolio","In New Portfolio")</f>
        <v>Not in New Portfolio</v>
      </c>
      <c r="J2" t="str">
        <f>IF(ISNA(VLOOKUP(A2,$G$2:$G$31,1,FALSE)),"Not in New Portfolio","In New Portfolio")</f>
        <v>Not in New Portfolio</v>
      </c>
      <c r="K2" t="str">
        <f>IF(J2:J32="Not in New Portfolio", "Sell", "Hold")</f>
        <v>Sell</v>
      </c>
      <c r="L2" t="str">
        <f>IF(I2="Not in New Portfolio",A2," ")</f>
        <v>ANDHRA PETROCHEMICALS LTD.</v>
      </c>
      <c r="M2">
        <f>D2/C2</f>
        <v>861</v>
      </c>
      <c r="N2">
        <v>65.59</v>
      </c>
      <c r="O2">
        <f>M2*N2</f>
        <v>56472.990000000005</v>
      </c>
      <c r="Q2" t="str" cm="1">
        <f t="array" ref="Q2:R2">IF(I2="Not in New Portfolio", G2:H2, "")</f>
        <v>KSolves India Ltd.</v>
      </c>
      <c r="R2">
        <v>1103.3</v>
      </c>
      <c r="S2" s="18">
        <f>$D$35/R2</f>
        <v>275.15493368379714</v>
      </c>
      <c r="T2" s="18">
        <f>R2*S2</f>
        <v>303578.43833333335</v>
      </c>
      <c r="U2" s="12" t="s">
        <v>94</v>
      </c>
      <c r="V2">
        <v>303578</v>
      </c>
    </row>
    <row r="3" spans="1:22" x14ac:dyDescent="0.3">
      <c r="A3" t="s">
        <v>95</v>
      </c>
      <c r="B3">
        <v>209</v>
      </c>
      <c r="C3">
        <v>356.87703349280002</v>
      </c>
      <c r="D3">
        <v>74587.299999995201</v>
      </c>
      <c r="E3">
        <v>1305.3</v>
      </c>
      <c r="F3">
        <v>272807.7</v>
      </c>
      <c r="G3" t="s">
        <v>96</v>
      </c>
      <c r="H3">
        <v>267.2</v>
      </c>
      <c r="I3" t="str">
        <f t="shared" ref="I3:I31" si="0">IF(ISNA(VLOOKUP(G3,$A$2:$A$31,1,FALSE)),"Not in New Portfolio","In New Portfolio")</f>
        <v>In New Portfolio</v>
      </c>
      <c r="J3" t="str">
        <f t="shared" ref="J3:J31" si="1">IF(ISNA(VLOOKUP(A3,$G$2:$G$31,1,FALSE)),"Not in New Portfolio","In New Portfolio")</f>
        <v>Not in New Portfolio</v>
      </c>
      <c r="K3" t="str">
        <f t="shared" ref="K3:K31" si="2">IF(J3:J33="Not in New Portfolio", "Sell", "Hold")</f>
        <v>Sell</v>
      </c>
      <c r="L3" t="str">
        <f t="shared" ref="L3:L31" si="3">IF(I3="Not in New Portfolio",A3," ")</f>
        <v xml:space="preserve"> </v>
      </c>
      <c r="M3">
        <f>D3/C3</f>
        <v>209</v>
      </c>
      <c r="N3">
        <v>1305.3</v>
      </c>
      <c r="O3">
        <f t="shared" ref="O3:O31" si="4">M3*N3</f>
        <v>272807.7</v>
      </c>
      <c r="Q3" t="str" cm="1">
        <f t="array" ref="Q3">IF(I3="Not in New Portfolio", G3:H3, "")</f>
        <v/>
      </c>
      <c r="S3" s="18"/>
      <c r="T3" s="18">
        <f t="shared" ref="T3:T31" si="5">R3*S3</f>
        <v>0</v>
      </c>
      <c r="U3" s="13" t="s">
        <v>97</v>
      </c>
      <c r="V3">
        <v>231182</v>
      </c>
    </row>
    <row r="4" spans="1:22" x14ac:dyDescent="0.3">
      <c r="A4" t="s">
        <v>98</v>
      </c>
      <c r="B4">
        <v>71</v>
      </c>
      <c r="C4">
        <v>3256.0847887323998</v>
      </c>
      <c r="D4">
        <v>231182.0200000004</v>
      </c>
      <c r="E4">
        <v>2316.5500000000002</v>
      </c>
      <c r="F4">
        <v>164475.04999999999</v>
      </c>
      <c r="G4" t="s">
        <v>99</v>
      </c>
      <c r="H4">
        <v>3976.2</v>
      </c>
      <c r="I4" t="str">
        <f t="shared" si="0"/>
        <v>In New Portfolio</v>
      </c>
      <c r="J4" t="str">
        <f t="shared" si="1"/>
        <v>In New Portfolio</v>
      </c>
      <c r="K4" t="str">
        <f t="shared" si="2"/>
        <v>Hold</v>
      </c>
      <c r="L4" t="str">
        <f t="shared" si="3"/>
        <v xml:space="preserve"> </v>
      </c>
      <c r="P4" t="str">
        <f>IF(J4="In New Portfolio",A4," ")</f>
        <v>BALAJI AMINES LTD.</v>
      </c>
      <c r="Q4" t="str" cm="1">
        <f t="array" ref="Q4">IF(I4="Not in New Portfolio", G4:H4, "")</f>
        <v/>
      </c>
      <c r="S4" s="18"/>
      <c r="T4" s="18">
        <f t="shared" si="5"/>
        <v>0</v>
      </c>
      <c r="U4" s="13" t="s">
        <v>100</v>
      </c>
      <c r="V4">
        <v>303578</v>
      </c>
    </row>
    <row r="5" spans="1:22" x14ac:dyDescent="0.3">
      <c r="A5" t="s">
        <v>101</v>
      </c>
      <c r="B5">
        <v>931</v>
      </c>
      <c r="C5">
        <v>165.09032223419999</v>
      </c>
      <c r="D5">
        <v>153699.09000004019</v>
      </c>
      <c r="E5">
        <v>131.5</v>
      </c>
      <c r="F5">
        <v>122426.5</v>
      </c>
      <c r="G5" t="s">
        <v>102</v>
      </c>
      <c r="H5">
        <v>1428</v>
      </c>
      <c r="I5" t="str">
        <f t="shared" si="0"/>
        <v>Not in New Portfolio</v>
      </c>
      <c r="J5" t="str">
        <f t="shared" si="1"/>
        <v>Not in New Portfolio</v>
      </c>
      <c r="K5" t="str">
        <f t="shared" si="2"/>
        <v>Sell</v>
      </c>
      <c r="L5" t="str">
        <f t="shared" si="3"/>
        <v>BHANSALI ENGINEERING POLYMERS LTD-EQUITY SHARES OF RE.1/-</v>
      </c>
      <c r="M5">
        <f>D5/C5</f>
        <v>931</v>
      </c>
      <c r="N5">
        <v>131.5</v>
      </c>
      <c r="O5">
        <f t="shared" ref="O5:O33" si="6">M5*N5</f>
        <v>122426.5</v>
      </c>
      <c r="P5" t="str">
        <f t="shared" ref="P5:P31" si="7">IF(J5="In New Portfolio",A5," ")</f>
        <v xml:space="preserve"> </v>
      </c>
      <c r="Q5" t="str" cm="1">
        <f t="array" ref="Q5:R5">IF(I5="Not in New Portfolio", G5:H5, "")</f>
        <v>Waaree Renewable Technologies Ltd.</v>
      </c>
      <c r="R5">
        <v>1428</v>
      </c>
      <c r="S5" s="18">
        <f t="shared" ref="S5:S31" si="8">$D$35/R5</f>
        <v>212.58994281045753</v>
      </c>
      <c r="T5" s="18">
        <f t="shared" si="5"/>
        <v>303578.43833333335</v>
      </c>
      <c r="U5" s="13" t="s">
        <v>103</v>
      </c>
      <c r="V5">
        <v>303578</v>
      </c>
    </row>
    <row r="6" spans="1:22" x14ac:dyDescent="0.3">
      <c r="A6" t="s">
        <v>104</v>
      </c>
      <c r="B6">
        <v>481</v>
      </c>
      <c r="C6">
        <v>480.43989604990003</v>
      </c>
      <c r="D6">
        <v>231091.59000000189</v>
      </c>
      <c r="E6">
        <v>454.6</v>
      </c>
      <c r="F6">
        <v>218662.6</v>
      </c>
      <c r="G6" t="s">
        <v>105</v>
      </c>
      <c r="H6">
        <v>817</v>
      </c>
      <c r="I6" t="str">
        <f t="shared" si="0"/>
        <v>Not in New Portfolio</v>
      </c>
      <c r="J6" t="str">
        <f t="shared" si="1"/>
        <v>Not in New Portfolio</v>
      </c>
      <c r="K6" t="str">
        <f t="shared" si="2"/>
        <v>Sell</v>
      </c>
      <c r="L6" t="str">
        <f t="shared" si="3"/>
        <v>CHEMPLAST SANMAR LTD</v>
      </c>
      <c r="M6">
        <f>D6/C6</f>
        <v>480.99999999999994</v>
      </c>
      <c r="N6">
        <v>454.6</v>
      </c>
      <c r="O6">
        <f t="shared" si="6"/>
        <v>218662.59999999998</v>
      </c>
      <c r="P6" t="str">
        <f t="shared" si="7"/>
        <v xml:space="preserve"> </v>
      </c>
      <c r="Q6" t="str" cm="1">
        <f t="array" ref="Q6:R6">IF(I6="Not in New Portfolio", G6:H6, "")</f>
        <v>Dreamfolks Services Ltd.</v>
      </c>
      <c r="R6">
        <v>817</v>
      </c>
      <c r="S6" s="18">
        <f t="shared" si="8"/>
        <v>371.57703590371278</v>
      </c>
      <c r="T6" s="18">
        <f t="shared" si="5"/>
        <v>303578.43833333335</v>
      </c>
      <c r="U6" s="13" t="s">
        <v>106</v>
      </c>
      <c r="V6">
        <v>303578</v>
      </c>
    </row>
    <row r="7" spans="1:22" x14ac:dyDescent="0.3">
      <c r="A7" t="s">
        <v>107</v>
      </c>
      <c r="B7">
        <v>40</v>
      </c>
      <c r="C7">
        <v>2946.8917499999998</v>
      </c>
      <c r="D7">
        <v>117875.67</v>
      </c>
      <c r="E7">
        <v>2198.5500000000002</v>
      </c>
      <c r="F7">
        <v>87942</v>
      </c>
      <c r="G7" t="s">
        <v>108</v>
      </c>
      <c r="H7">
        <v>630.9</v>
      </c>
      <c r="I7" t="str">
        <f t="shared" si="0"/>
        <v>Not in New Portfolio</v>
      </c>
      <c r="J7" t="str">
        <f t="shared" si="1"/>
        <v>In New Portfolio</v>
      </c>
      <c r="K7" t="str">
        <f t="shared" si="2"/>
        <v>Hold</v>
      </c>
      <c r="L7" t="str">
        <f t="shared" si="3"/>
        <v>COMPUTER AGE MANAGEMENT SERVICES LTD</v>
      </c>
      <c r="P7" t="str">
        <f t="shared" si="7"/>
        <v>COMPUTER AGE MANAGEMENT SERVICES LTD</v>
      </c>
      <c r="Q7" t="str" cm="1">
        <f t="array" ref="Q7:R7">IF(I7="Not in New Portfolio", G7:H7, "")</f>
        <v>ICICI Securities Ltd.</v>
      </c>
      <c r="R7">
        <v>630.9</v>
      </c>
      <c r="S7" s="18">
        <f t="shared" si="8"/>
        <v>481.18313256194858</v>
      </c>
      <c r="T7" s="18">
        <f t="shared" si="5"/>
        <v>303578.43833333335</v>
      </c>
      <c r="U7" s="13" t="s">
        <v>109</v>
      </c>
      <c r="V7">
        <v>303578</v>
      </c>
    </row>
    <row r="8" spans="1:22" x14ac:dyDescent="0.3">
      <c r="A8" t="s">
        <v>110</v>
      </c>
      <c r="B8">
        <v>4660</v>
      </c>
      <c r="C8">
        <v>35.422077253200001</v>
      </c>
      <c r="D8">
        <v>165066.87999991199</v>
      </c>
      <c r="E8">
        <v>40.5</v>
      </c>
      <c r="F8">
        <v>188730</v>
      </c>
      <c r="G8" t="s">
        <v>111</v>
      </c>
      <c r="H8">
        <v>1490</v>
      </c>
      <c r="I8" t="str">
        <f t="shared" si="0"/>
        <v>Not in New Portfolio</v>
      </c>
      <c r="J8" t="str">
        <f t="shared" si="1"/>
        <v>In New Portfolio</v>
      </c>
      <c r="K8" t="str">
        <f t="shared" si="2"/>
        <v>Hold</v>
      </c>
      <c r="L8" t="str">
        <f t="shared" si="3"/>
        <v>EASY TRIP PLANNERS LTD</v>
      </c>
      <c r="P8" t="str">
        <f t="shared" si="7"/>
        <v>EASY TRIP PLANNERS LTD</v>
      </c>
      <c r="Q8" t="str" cm="1">
        <f t="array" ref="Q8:R8">IF(I8="Not in New Portfolio", G8:H8, "")</f>
        <v>Jyoti Resins &amp; Adhesives Ltd.</v>
      </c>
      <c r="R8">
        <v>1490</v>
      </c>
      <c r="S8" s="18">
        <f t="shared" si="8"/>
        <v>203.74391834451902</v>
      </c>
      <c r="T8" s="18">
        <f t="shared" si="5"/>
        <v>303578.43833333335</v>
      </c>
      <c r="U8" s="13" t="s">
        <v>112</v>
      </c>
      <c r="V8">
        <v>303578</v>
      </c>
    </row>
    <row r="9" spans="1:22" x14ac:dyDescent="0.3">
      <c r="A9" t="s">
        <v>113</v>
      </c>
      <c r="B9">
        <v>71</v>
      </c>
      <c r="C9">
        <v>3340.7442253520999</v>
      </c>
      <c r="D9">
        <v>237192.83999999909</v>
      </c>
      <c r="E9">
        <v>3976.2</v>
      </c>
      <c r="F9">
        <v>282310.2</v>
      </c>
      <c r="G9" t="s">
        <v>114</v>
      </c>
      <c r="H9">
        <v>493.85</v>
      </c>
      <c r="I9" t="str">
        <f t="shared" si="0"/>
        <v>Not in New Portfolio</v>
      </c>
      <c r="J9" t="str">
        <f t="shared" si="1"/>
        <v>In New Portfolio</v>
      </c>
      <c r="K9" t="str">
        <f t="shared" si="2"/>
        <v>Hold</v>
      </c>
      <c r="L9" t="str">
        <f t="shared" si="3"/>
        <v>ESAB INDIA LTD.</v>
      </c>
      <c r="M9">
        <f>D9/C9</f>
        <v>71</v>
      </c>
      <c r="N9">
        <v>3976.2</v>
      </c>
      <c r="O9">
        <f t="shared" ref="O9:O37" si="9">M9*N9</f>
        <v>282310.2</v>
      </c>
      <c r="P9" t="str">
        <f t="shared" si="7"/>
        <v>ESAB INDIA LTD.</v>
      </c>
      <c r="Q9" t="str" cm="1">
        <f t="array" ref="Q9:R9">IF(I9="Not in New Portfolio", G9:H9, "")</f>
        <v>West Coast Paper Mills Ltd.</v>
      </c>
      <c r="R9">
        <v>493.85</v>
      </c>
      <c r="S9" s="18">
        <f t="shared" si="8"/>
        <v>614.71790692180491</v>
      </c>
      <c r="T9" s="18">
        <f t="shared" si="5"/>
        <v>303578.43833333335</v>
      </c>
      <c r="U9" s="13" t="s">
        <v>115</v>
      </c>
      <c r="V9">
        <v>303578</v>
      </c>
    </row>
    <row r="10" spans="1:22" x14ac:dyDescent="0.3">
      <c r="A10" t="s">
        <v>116</v>
      </c>
      <c r="B10">
        <v>418</v>
      </c>
      <c r="C10">
        <v>280.41796650719999</v>
      </c>
      <c r="D10">
        <v>117214.7100000096</v>
      </c>
      <c r="E10">
        <v>528.54999999999995</v>
      </c>
      <c r="F10">
        <v>220933.9</v>
      </c>
      <c r="G10" t="s">
        <v>117</v>
      </c>
      <c r="H10">
        <v>4496.8500000000004</v>
      </c>
      <c r="I10" t="str">
        <f t="shared" si="0"/>
        <v>Not in New Portfolio</v>
      </c>
      <c r="J10" t="str">
        <f t="shared" si="1"/>
        <v>Not in New Portfolio</v>
      </c>
      <c r="K10" t="str">
        <f t="shared" si="2"/>
        <v>Sell</v>
      </c>
      <c r="L10" t="str">
        <f t="shared" si="3"/>
        <v>GODAWARI POWER &amp; ISPAT LTD.</v>
      </c>
      <c r="M10">
        <f>D10/C10</f>
        <v>418</v>
      </c>
      <c r="N10">
        <v>528.54999999999995</v>
      </c>
      <c r="O10">
        <f t="shared" si="9"/>
        <v>220933.9</v>
      </c>
      <c r="P10" t="str">
        <f t="shared" si="7"/>
        <v xml:space="preserve"> </v>
      </c>
      <c r="Q10" t="str" cm="1">
        <f t="array" ref="Q10:R10">IF(I10="Not in New Portfolio", G10:H10, "")</f>
        <v>Fine Organic Industries Ltd.</v>
      </c>
      <c r="R10">
        <v>4496.8500000000004</v>
      </c>
      <c r="S10" s="18">
        <f t="shared" si="8"/>
        <v>67.509131577289281</v>
      </c>
      <c r="T10" s="18">
        <f t="shared" si="5"/>
        <v>303578.43833333335</v>
      </c>
      <c r="U10" s="13" t="s">
        <v>107</v>
      </c>
      <c r="V10">
        <v>117876</v>
      </c>
    </row>
    <row r="11" spans="1:22" x14ac:dyDescent="0.3">
      <c r="A11" t="s">
        <v>118</v>
      </c>
      <c r="B11">
        <v>1154</v>
      </c>
      <c r="C11">
        <v>204.15404679380001</v>
      </c>
      <c r="D11">
        <v>235593.77000004519</v>
      </c>
      <c r="E11">
        <v>233.65</v>
      </c>
      <c r="F11">
        <v>269632.09999999998</v>
      </c>
      <c r="G11" t="s">
        <v>119</v>
      </c>
      <c r="H11">
        <v>2131.4</v>
      </c>
      <c r="I11" t="str">
        <f t="shared" si="0"/>
        <v>In New Portfolio</v>
      </c>
      <c r="J11" t="str">
        <f t="shared" si="1"/>
        <v>Not in New Portfolio</v>
      </c>
      <c r="K11" t="str">
        <f t="shared" si="2"/>
        <v>Sell</v>
      </c>
      <c r="L11" t="str">
        <f t="shared" si="3"/>
        <v xml:space="preserve"> </v>
      </c>
      <c r="M11">
        <f>D11/C11</f>
        <v>1154</v>
      </c>
      <c r="N11">
        <v>233.65</v>
      </c>
      <c r="O11">
        <f t="shared" si="9"/>
        <v>269632.10000000003</v>
      </c>
      <c r="P11" t="str">
        <f t="shared" si="7"/>
        <v xml:space="preserve"> </v>
      </c>
      <c r="Q11" t="str" cm="1">
        <f t="array" ref="Q11">IF(I11="Not in New Portfolio", G11:H11, "")</f>
        <v/>
      </c>
      <c r="S11" s="18"/>
      <c r="T11" s="18">
        <f t="shared" si="5"/>
        <v>0</v>
      </c>
      <c r="U11" s="13" t="s">
        <v>110</v>
      </c>
      <c r="V11">
        <v>165067</v>
      </c>
    </row>
    <row r="12" spans="1:22" x14ac:dyDescent="0.3">
      <c r="A12" t="s">
        <v>120</v>
      </c>
      <c r="B12">
        <v>443</v>
      </c>
      <c r="C12">
        <v>515.19379232510005</v>
      </c>
      <c r="D12">
        <v>228230.8500000193</v>
      </c>
      <c r="E12">
        <v>793.7</v>
      </c>
      <c r="F12">
        <v>351609.1</v>
      </c>
      <c r="G12" t="s">
        <v>121</v>
      </c>
      <c r="H12">
        <v>793.7</v>
      </c>
      <c r="I12" t="str">
        <f t="shared" si="0"/>
        <v>In New Portfolio</v>
      </c>
      <c r="J12" t="str">
        <f t="shared" si="1"/>
        <v>In New Portfolio</v>
      </c>
      <c r="K12" t="str">
        <f t="shared" si="2"/>
        <v>Hold</v>
      </c>
      <c r="L12" t="str">
        <f t="shared" si="3"/>
        <v xml:space="preserve"> </v>
      </c>
      <c r="P12" t="str">
        <f t="shared" si="7"/>
        <v>GUJARAT THEMIS BIOSYN LTD.</v>
      </c>
      <c r="Q12" t="str" cm="1">
        <f t="array" ref="Q12">IF(I12="Not in New Portfolio", G12:H12, "")</f>
        <v/>
      </c>
      <c r="S12" s="18"/>
      <c r="T12" s="18">
        <f t="shared" si="5"/>
        <v>0</v>
      </c>
      <c r="U12" s="13" t="s">
        <v>122</v>
      </c>
      <c r="V12">
        <v>237193</v>
      </c>
    </row>
    <row r="13" spans="1:22" x14ac:dyDescent="0.3">
      <c r="A13" t="s">
        <v>123</v>
      </c>
      <c r="B13">
        <v>46</v>
      </c>
      <c r="C13">
        <v>3551.6145652174</v>
      </c>
      <c r="D13">
        <v>163374.2700000004</v>
      </c>
      <c r="E13">
        <v>6392.05</v>
      </c>
      <c r="F13">
        <v>294034.3</v>
      </c>
      <c r="G13" t="s">
        <v>107</v>
      </c>
      <c r="H13">
        <v>2198.5500000000002</v>
      </c>
      <c r="I13" t="str">
        <f t="shared" si="0"/>
        <v>In New Portfolio</v>
      </c>
      <c r="J13" t="str">
        <f t="shared" si="1"/>
        <v>In New Portfolio</v>
      </c>
      <c r="K13" t="str">
        <f t="shared" si="2"/>
        <v>Hold</v>
      </c>
      <c r="L13" t="str">
        <f t="shared" si="3"/>
        <v xml:space="preserve"> </v>
      </c>
      <c r="P13" t="str">
        <f t="shared" si="7"/>
        <v>HAWKINS COOKERS LTD.</v>
      </c>
      <c r="Q13" t="str" cm="1">
        <f t="array" ref="Q13">IF(I13="Not in New Portfolio", G13:H13, "")</f>
        <v/>
      </c>
      <c r="S13" s="18"/>
      <c r="T13" s="18">
        <f t="shared" si="5"/>
        <v>0</v>
      </c>
      <c r="U13" s="13" t="s">
        <v>124</v>
      </c>
      <c r="V13">
        <v>228230</v>
      </c>
    </row>
    <row r="14" spans="1:22" x14ac:dyDescent="0.3">
      <c r="A14" t="s">
        <v>125</v>
      </c>
      <c r="B14">
        <v>253</v>
      </c>
      <c r="C14">
        <v>929.44130434780004</v>
      </c>
      <c r="D14">
        <v>235148.64999999339</v>
      </c>
      <c r="E14">
        <v>978.1</v>
      </c>
      <c r="F14">
        <v>247459.3</v>
      </c>
      <c r="G14" t="s">
        <v>126</v>
      </c>
      <c r="H14">
        <v>890.55</v>
      </c>
      <c r="I14" t="str">
        <f t="shared" si="0"/>
        <v>Not in New Portfolio</v>
      </c>
      <c r="J14" t="str">
        <f t="shared" si="1"/>
        <v>Not in New Portfolio</v>
      </c>
      <c r="K14" t="str">
        <f t="shared" si="2"/>
        <v>Sell</v>
      </c>
      <c r="L14" t="str">
        <f t="shared" si="3"/>
        <v>MAITHAN ALLOYS LTD.</v>
      </c>
      <c r="M14">
        <f>D14/C14</f>
        <v>252.99999999999997</v>
      </c>
      <c r="N14">
        <v>978.1</v>
      </c>
      <c r="O14">
        <f t="shared" ref="O14:O42" si="10">M14*N14</f>
        <v>247459.3</v>
      </c>
      <c r="P14" t="str">
        <f t="shared" si="7"/>
        <v xml:space="preserve"> </v>
      </c>
      <c r="Q14" t="str" cm="1">
        <f t="array" ref="Q14:R14">IF(I14="Not in New Portfolio", G14:H14, "")</f>
        <v>Refex Industries Ltd.</v>
      </c>
      <c r="R14">
        <v>890.55</v>
      </c>
      <c r="S14" s="18">
        <f t="shared" ref="S14:S40" si="11">$D$35/R14</f>
        <v>340.8887073531339</v>
      </c>
      <c r="T14" s="18">
        <f t="shared" si="5"/>
        <v>303578.43833333335</v>
      </c>
      <c r="U14" s="13" t="s">
        <v>123</v>
      </c>
      <c r="V14">
        <v>163374</v>
      </c>
    </row>
    <row r="15" spans="1:22" x14ac:dyDescent="0.3">
      <c r="A15" t="s">
        <v>127</v>
      </c>
      <c r="B15">
        <v>2122</v>
      </c>
      <c r="C15">
        <v>90.824184731399995</v>
      </c>
      <c r="D15">
        <v>192728.9200000308</v>
      </c>
      <c r="E15">
        <v>66.150000000000006</v>
      </c>
      <c r="F15">
        <v>140370.29999999999</v>
      </c>
      <c r="G15" t="s">
        <v>128</v>
      </c>
      <c r="H15">
        <v>127.35</v>
      </c>
      <c r="I15" t="str">
        <f t="shared" si="0"/>
        <v>Not in New Portfolio</v>
      </c>
      <c r="J15" t="str">
        <f t="shared" si="1"/>
        <v>Not in New Portfolio</v>
      </c>
      <c r="K15" t="str">
        <f t="shared" si="2"/>
        <v>Sell</v>
      </c>
      <c r="L15" t="str">
        <f t="shared" si="3"/>
        <v>MANALI PETROCHEMICAL LTD.</v>
      </c>
      <c r="M15">
        <f>D15/C15</f>
        <v>2122</v>
      </c>
      <c r="N15">
        <v>66.150000000000006</v>
      </c>
      <c r="O15">
        <f t="shared" si="10"/>
        <v>140370.30000000002</v>
      </c>
      <c r="P15" t="str">
        <f t="shared" si="7"/>
        <v xml:space="preserve"> </v>
      </c>
      <c r="Q15" t="str" cm="1">
        <f t="array" ref="Q15:R15">IF(I15="Not in New Portfolio", G15:H15, "")</f>
        <v>Indian Energy Exchange Ltd.</v>
      </c>
      <c r="R15">
        <v>127.35</v>
      </c>
      <c r="S15" s="18">
        <f t="shared" si="11"/>
        <v>2383.8118439994769</v>
      </c>
      <c r="T15" s="18">
        <f t="shared" si="5"/>
        <v>303578.43833333335</v>
      </c>
      <c r="U15" s="13" t="s">
        <v>129</v>
      </c>
      <c r="V15">
        <v>303578</v>
      </c>
    </row>
    <row r="16" spans="1:22" x14ac:dyDescent="0.3">
      <c r="A16" t="s">
        <v>130</v>
      </c>
      <c r="B16">
        <v>934</v>
      </c>
      <c r="C16">
        <v>257.68134903639998</v>
      </c>
      <c r="D16">
        <v>240674.37999999759</v>
      </c>
      <c r="E16">
        <v>243.1</v>
      </c>
      <c r="F16">
        <v>227055.4</v>
      </c>
      <c r="G16" t="s">
        <v>131</v>
      </c>
      <c r="H16">
        <v>2680</v>
      </c>
      <c r="I16" t="str">
        <f t="shared" si="0"/>
        <v>Not in New Portfolio</v>
      </c>
      <c r="J16" t="str">
        <f t="shared" si="1"/>
        <v>Not in New Portfolio</v>
      </c>
      <c r="K16" t="str">
        <f t="shared" si="2"/>
        <v>Sell</v>
      </c>
      <c r="L16" t="str">
        <f t="shared" si="3"/>
        <v>MONARCH NETWORTH CAPITAL LTD</v>
      </c>
      <c r="M16">
        <f>D16/C16</f>
        <v>934</v>
      </c>
      <c r="N16">
        <v>243.1</v>
      </c>
      <c r="O16">
        <f t="shared" si="10"/>
        <v>227055.4</v>
      </c>
      <c r="P16" t="str">
        <f t="shared" si="7"/>
        <v xml:space="preserve"> </v>
      </c>
      <c r="Q16" t="str" cm="1">
        <f t="array" ref="Q16:R16">IF(I16="Not in New Portfolio", G16:H16, "")</f>
        <v>Shilchar Technologies Ltd.</v>
      </c>
      <c r="R16">
        <v>2680</v>
      </c>
      <c r="S16" s="18">
        <f t="shared" si="11"/>
        <v>113.2755366915423</v>
      </c>
      <c r="T16" s="18">
        <f t="shared" si="5"/>
        <v>303578.43833333335</v>
      </c>
      <c r="U16" s="13" t="s">
        <v>132</v>
      </c>
      <c r="V16">
        <v>303578</v>
      </c>
    </row>
    <row r="17" spans="1:22" x14ac:dyDescent="0.3">
      <c r="A17" t="s">
        <v>133</v>
      </c>
      <c r="B17">
        <v>1014</v>
      </c>
      <c r="C17">
        <v>248.636183432</v>
      </c>
      <c r="D17">
        <v>252117.09000004799</v>
      </c>
      <c r="E17">
        <v>227.4</v>
      </c>
      <c r="F17">
        <v>230583.6</v>
      </c>
      <c r="G17" t="s">
        <v>134</v>
      </c>
      <c r="H17">
        <v>3630</v>
      </c>
      <c r="I17" t="str">
        <f t="shared" si="0"/>
        <v>Not in New Portfolio</v>
      </c>
      <c r="J17" t="str">
        <f t="shared" si="1"/>
        <v>Not in New Portfolio</v>
      </c>
      <c r="K17" t="str">
        <f t="shared" si="2"/>
        <v>Sell</v>
      </c>
      <c r="L17" t="str">
        <f t="shared" si="3"/>
        <v>NEW DELHI TELEVISION LTD.</v>
      </c>
      <c r="M17">
        <f>D17/C17</f>
        <v>1014</v>
      </c>
      <c r="N17">
        <v>227.4</v>
      </c>
      <c r="O17">
        <f t="shared" si="10"/>
        <v>230583.6</v>
      </c>
      <c r="P17" t="str">
        <f t="shared" si="7"/>
        <v xml:space="preserve"> </v>
      </c>
      <c r="Q17" t="str" cm="1">
        <f t="array" ref="Q17:R17">IF(I17="Not in New Portfolio", G17:H17, "")</f>
        <v>Apar Industries Ltd.</v>
      </c>
      <c r="R17">
        <v>3630</v>
      </c>
      <c r="S17" s="18">
        <f t="shared" si="11"/>
        <v>83.630423783287426</v>
      </c>
      <c r="T17" s="18">
        <f t="shared" si="5"/>
        <v>303578.43833333335</v>
      </c>
      <c r="U17" s="13" t="s">
        <v>135</v>
      </c>
      <c r="V17">
        <v>303578</v>
      </c>
    </row>
    <row r="18" spans="1:22" x14ac:dyDescent="0.3">
      <c r="A18" t="s">
        <v>136</v>
      </c>
      <c r="B18">
        <v>118</v>
      </c>
      <c r="C18">
        <v>1440.011779661</v>
      </c>
      <c r="D18">
        <v>169921.38999999801</v>
      </c>
      <c r="E18">
        <v>918.65</v>
      </c>
      <c r="F18">
        <v>108400.7</v>
      </c>
      <c r="G18" t="s">
        <v>137</v>
      </c>
      <c r="H18">
        <v>1493.85</v>
      </c>
      <c r="I18" t="str">
        <f t="shared" si="0"/>
        <v>Not in New Portfolio</v>
      </c>
      <c r="J18" t="str">
        <f t="shared" si="1"/>
        <v>Not in New Portfolio</v>
      </c>
      <c r="K18" t="str">
        <f t="shared" si="2"/>
        <v>Sell</v>
      </c>
      <c r="L18" t="str">
        <f t="shared" si="3"/>
        <v>PUNJAB CHEMICALS AND CROP PROTECTION LTD.</v>
      </c>
      <c r="M18">
        <f>D18/C18</f>
        <v>118</v>
      </c>
      <c r="N18">
        <v>918.65</v>
      </c>
      <c r="O18">
        <f t="shared" si="10"/>
        <v>108400.7</v>
      </c>
      <c r="P18" t="str">
        <f t="shared" si="7"/>
        <v xml:space="preserve"> </v>
      </c>
      <c r="Q18" t="str" cm="1">
        <f t="array" ref="Q18:R18">IF(I18="Not in New Portfolio", G18:H18, "")</f>
        <v>Angel One Ltd.</v>
      </c>
      <c r="R18">
        <v>1493.85</v>
      </c>
      <c r="S18" s="18">
        <f t="shared" si="11"/>
        <v>203.21882272874342</v>
      </c>
      <c r="T18" s="18">
        <f t="shared" si="5"/>
        <v>303578.43833333335</v>
      </c>
      <c r="U18" s="13" t="s">
        <v>138</v>
      </c>
      <c r="V18">
        <v>303578</v>
      </c>
    </row>
    <row r="19" spans="1:22" x14ac:dyDescent="0.3">
      <c r="A19" t="s">
        <v>139</v>
      </c>
      <c r="B19">
        <v>194</v>
      </c>
      <c r="C19">
        <v>1192.3240206185999</v>
      </c>
      <c r="D19">
        <v>231310.8600000084</v>
      </c>
      <c r="E19">
        <v>1307.25</v>
      </c>
      <c r="F19">
        <v>253606.5</v>
      </c>
      <c r="G19" t="s">
        <v>140</v>
      </c>
      <c r="H19">
        <v>2845.3</v>
      </c>
      <c r="I19" t="str">
        <f t="shared" si="0"/>
        <v>Not in New Portfolio</v>
      </c>
      <c r="J19" t="str">
        <f t="shared" si="1"/>
        <v>In New Portfolio</v>
      </c>
      <c r="K19" t="str">
        <f t="shared" si="2"/>
        <v>Hold</v>
      </c>
      <c r="L19" t="str">
        <f t="shared" si="3"/>
        <v>SHARE INDIA SECURITIES LTD</v>
      </c>
      <c r="P19" t="str">
        <f t="shared" si="7"/>
        <v>SHARE INDIA SECURITIES LTD</v>
      </c>
      <c r="Q19" t="str" cm="1">
        <f t="array" ref="Q19:R19">IF(I19="Not in New Portfolio", G19:H19, "")</f>
        <v>Ingersoll-Rand (India) Ltd.</v>
      </c>
      <c r="R19">
        <v>2845.3</v>
      </c>
      <c r="S19" s="18">
        <f t="shared" si="11"/>
        <v>106.69470296043768</v>
      </c>
      <c r="T19" s="18">
        <f t="shared" si="5"/>
        <v>303578.43833333335</v>
      </c>
      <c r="U19" s="13" t="s">
        <v>141</v>
      </c>
      <c r="V19">
        <v>303578</v>
      </c>
    </row>
    <row r="20" spans="1:22" x14ac:dyDescent="0.3">
      <c r="A20" t="s">
        <v>142</v>
      </c>
      <c r="B20">
        <v>9752</v>
      </c>
      <c r="C20">
        <v>23.896820139500001</v>
      </c>
      <c r="D20">
        <v>233041.790000404</v>
      </c>
      <c r="E20">
        <v>19.600000000000001</v>
      </c>
      <c r="F20">
        <v>191139.20000000001</v>
      </c>
      <c r="G20" t="s">
        <v>143</v>
      </c>
      <c r="H20">
        <v>499.95</v>
      </c>
      <c r="I20" t="str">
        <f t="shared" si="0"/>
        <v>Not in New Portfolio</v>
      </c>
      <c r="J20" t="str">
        <f t="shared" si="1"/>
        <v>Not in New Portfolio</v>
      </c>
      <c r="K20" t="str">
        <f t="shared" si="2"/>
        <v>Sell</v>
      </c>
      <c r="L20" t="str">
        <f t="shared" si="3"/>
        <v>SHYAM CENTURY FERROUS LTD</v>
      </c>
      <c r="M20">
        <f>D20/C20</f>
        <v>9752</v>
      </c>
      <c r="N20">
        <v>19.600000000000001</v>
      </c>
      <c r="O20">
        <f t="shared" ref="O20:O48" si="12">M20*N20</f>
        <v>191139.20000000001</v>
      </c>
      <c r="P20" t="str">
        <f t="shared" si="7"/>
        <v xml:space="preserve"> </v>
      </c>
      <c r="Q20" t="str" cm="1">
        <f t="array" ref="Q20:R20">IF(I20="Not in New Portfolio", G20:H20, "")</f>
        <v>Archean Chemical Industries Ltd.</v>
      </c>
      <c r="R20">
        <v>499.95</v>
      </c>
      <c r="S20" s="18">
        <f t="shared" si="11"/>
        <v>607.21759842650943</v>
      </c>
      <c r="T20" s="18">
        <f t="shared" si="5"/>
        <v>303578.43833333335</v>
      </c>
      <c r="U20" s="13" t="s">
        <v>144</v>
      </c>
      <c r="V20">
        <v>303578</v>
      </c>
    </row>
    <row r="21" spans="1:22" x14ac:dyDescent="0.3">
      <c r="A21" t="s">
        <v>145</v>
      </c>
      <c r="B21">
        <v>637</v>
      </c>
      <c r="C21">
        <v>308.82766091050001</v>
      </c>
      <c r="D21">
        <v>196723.21999998851</v>
      </c>
      <c r="E21">
        <v>1009.45</v>
      </c>
      <c r="F21">
        <v>643019.65</v>
      </c>
      <c r="G21" t="s">
        <v>110</v>
      </c>
      <c r="H21">
        <v>40.5</v>
      </c>
      <c r="I21" t="str">
        <f t="shared" si="0"/>
        <v>In New Portfolio</v>
      </c>
      <c r="J21" t="str">
        <f t="shared" si="1"/>
        <v>Not in New Portfolio</v>
      </c>
      <c r="K21" t="str">
        <f t="shared" si="2"/>
        <v>Sell</v>
      </c>
      <c r="L21" t="str">
        <f t="shared" si="3"/>
        <v xml:space="preserve"> </v>
      </c>
      <c r="M21">
        <f>D21/C21</f>
        <v>637</v>
      </c>
      <c r="N21">
        <v>1009.45</v>
      </c>
      <c r="O21">
        <f t="shared" si="12"/>
        <v>643019.65</v>
      </c>
      <c r="P21" t="str">
        <f t="shared" si="7"/>
        <v xml:space="preserve"> </v>
      </c>
      <c r="Q21" t="str" cm="1">
        <f t="array" ref="Q21">IF(I21="Not in New Portfolio", G21:H21, "")</f>
        <v/>
      </c>
      <c r="S21" s="18"/>
      <c r="T21" s="18">
        <f t="shared" si="5"/>
        <v>0</v>
      </c>
      <c r="U21" s="13" t="s">
        <v>146</v>
      </c>
      <c r="V21">
        <v>303578</v>
      </c>
    </row>
    <row r="22" spans="1:22" x14ac:dyDescent="0.3">
      <c r="A22" t="s">
        <v>147</v>
      </c>
      <c r="B22">
        <v>229</v>
      </c>
      <c r="C22">
        <v>917.29179039300004</v>
      </c>
      <c r="D22">
        <v>210059.81999999701</v>
      </c>
      <c r="E22">
        <v>850.35</v>
      </c>
      <c r="F22">
        <v>194730.15</v>
      </c>
      <c r="G22" t="s">
        <v>148</v>
      </c>
      <c r="H22">
        <v>1188</v>
      </c>
      <c r="I22" t="str">
        <f t="shared" si="0"/>
        <v>Not in New Portfolio</v>
      </c>
      <c r="J22" t="str">
        <f t="shared" si="1"/>
        <v>Not in New Portfolio</v>
      </c>
      <c r="K22" t="str">
        <f t="shared" si="2"/>
        <v>Sell</v>
      </c>
      <c r="L22" t="str">
        <f t="shared" si="3"/>
        <v>SPORTKING INDIA LTD</v>
      </c>
      <c r="M22">
        <f>D22/C22</f>
        <v>229</v>
      </c>
      <c r="N22">
        <v>850.35</v>
      </c>
      <c r="O22">
        <f t="shared" si="12"/>
        <v>194730.15</v>
      </c>
      <c r="P22" t="str">
        <f t="shared" si="7"/>
        <v xml:space="preserve"> </v>
      </c>
      <c r="Q22" t="str" cm="1">
        <f t="array" ref="Q22:R22">IF(I22="Not in New Portfolio", G22:H22, "")</f>
        <v>Knowledge Marine &amp; Engineering Works Ltd.</v>
      </c>
      <c r="R22">
        <v>1188</v>
      </c>
      <c r="S22" s="18">
        <f t="shared" ref="S22:S48" si="13">$D$35/R22</f>
        <v>255.53740600448936</v>
      </c>
      <c r="T22" s="18">
        <f t="shared" si="5"/>
        <v>303578.43833333335</v>
      </c>
      <c r="U22" s="13" t="s">
        <v>139</v>
      </c>
      <c r="V22">
        <v>231310</v>
      </c>
    </row>
    <row r="23" spans="1:22" x14ac:dyDescent="0.3">
      <c r="A23" t="s">
        <v>149</v>
      </c>
      <c r="B23">
        <v>99</v>
      </c>
      <c r="C23">
        <v>1350.5447474747</v>
      </c>
      <c r="D23">
        <v>133703.92999999531</v>
      </c>
      <c r="E23">
        <v>1070.3499999999999</v>
      </c>
      <c r="F23">
        <v>105964.65</v>
      </c>
      <c r="G23" t="s">
        <v>150</v>
      </c>
      <c r="H23">
        <v>1930.2</v>
      </c>
      <c r="I23" t="str">
        <f t="shared" si="0"/>
        <v>In New Portfolio</v>
      </c>
      <c r="J23" t="str">
        <f t="shared" si="1"/>
        <v>Not in New Portfolio</v>
      </c>
      <c r="K23" t="str">
        <f t="shared" si="2"/>
        <v>Sell</v>
      </c>
      <c r="L23" t="str">
        <f t="shared" si="3"/>
        <v xml:space="preserve"> </v>
      </c>
      <c r="M23">
        <f>D23/C23</f>
        <v>99</v>
      </c>
      <c r="N23">
        <v>1070.3499999999999</v>
      </c>
      <c r="O23">
        <f t="shared" si="12"/>
        <v>105964.65</v>
      </c>
      <c r="P23" t="str">
        <f t="shared" si="7"/>
        <v xml:space="preserve"> </v>
      </c>
      <c r="Q23" t="str" cm="1">
        <f t="array" ref="Q23">IF(I23="Not in New Portfolio", G23:H23, "")</f>
        <v/>
      </c>
      <c r="S23" s="18"/>
      <c r="T23" s="18">
        <f t="shared" si="5"/>
        <v>0</v>
      </c>
      <c r="U23" s="13" t="s">
        <v>151</v>
      </c>
      <c r="V23">
        <v>303578</v>
      </c>
    </row>
    <row r="24" spans="1:22" x14ac:dyDescent="0.3">
      <c r="A24" t="s">
        <v>152</v>
      </c>
      <c r="B24">
        <v>468</v>
      </c>
      <c r="C24">
        <v>354.1663034188</v>
      </c>
      <c r="D24">
        <v>165749.82999999839</v>
      </c>
      <c r="E24">
        <v>444.7</v>
      </c>
      <c r="F24">
        <v>208119.6</v>
      </c>
      <c r="G24" t="s">
        <v>153</v>
      </c>
      <c r="H24">
        <v>6392.05</v>
      </c>
      <c r="I24" t="str">
        <f t="shared" si="0"/>
        <v>In New Portfolio</v>
      </c>
      <c r="J24" t="str">
        <f t="shared" si="1"/>
        <v>In New Portfolio</v>
      </c>
      <c r="K24" t="str">
        <f t="shared" si="2"/>
        <v>Hold</v>
      </c>
      <c r="L24" t="str">
        <f t="shared" si="3"/>
        <v xml:space="preserve"> </v>
      </c>
      <c r="P24" t="str">
        <f t="shared" si="7"/>
        <v>SUPREME PETROCHEM LTD.</v>
      </c>
      <c r="Q24" t="str" cm="1">
        <f t="array" ref="Q24">IF(I24="Not in New Portfolio", G24:H24, "")</f>
        <v/>
      </c>
      <c r="S24" s="18"/>
      <c r="T24" s="18">
        <f t="shared" si="5"/>
        <v>0</v>
      </c>
      <c r="U24" s="13" t="s">
        <v>154</v>
      </c>
      <c r="V24">
        <v>165749</v>
      </c>
    </row>
    <row r="25" spans="1:22" x14ac:dyDescent="0.3">
      <c r="A25" t="s">
        <v>155</v>
      </c>
      <c r="B25">
        <v>502</v>
      </c>
      <c r="C25">
        <v>466.9834462151</v>
      </c>
      <c r="D25">
        <v>234425.68999998021</v>
      </c>
      <c r="E25">
        <v>485.85</v>
      </c>
      <c r="F25">
        <v>243896.7</v>
      </c>
      <c r="G25" t="s">
        <v>139</v>
      </c>
      <c r="H25">
        <v>1307.25</v>
      </c>
      <c r="I25" t="str">
        <f t="shared" si="0"/>
        <v>In New Portfolio</v>
      </c>
      <c r="J25" t="str">
        <f t="shared" si="1"/>
        <v>Not in New Portfolio</v>
      </c>
      <c r="K25" t="str">
        <f t="shared" si="2"/>
        <v>Sell</v>
      </c>
      <c r="L25" t="str">
        <f t="shared" si="3"/>
        <v xml:space="preserve"> </v>
      </c>
      <c r="M25">
        <f>D25/C25</f>
        <v>502</v>
      </c>
      <c r="N25">
        <v>485.85</v>
      </c>
      <c r="O25">
        <f t="shared" ref="O25:O53" si="14">M25*N25</f>
        <v>243896.7</v>
      </c>
      <c r="P25" t="str">
        <f t="shared" si="7"/>
        <v xml:space="preserve"> </v>
      </c>
      <c r="Q25" t="str" cm="1">
        <f t="array" ref="Q25">IF(I25="Not in New Portfolio", G25:H25, "")</f>
        <v/>
      </c>
      <c r="S25" s="18"/>
      <c r="T25" s="18">
        <f t="shared" si="5"/>
        <v>0</v>
      </c>
      <c r="U25" s="13" t="s">
        <v>156</v>
      </c>
      <c r="V25">
        <v>303578</v>
      </c>
    </row>
    <row r="26" spans="1:22" x14ac:dyDescent="0.3">
      <c r="A26" t="s">
        <v>157</v>
      </c>
      <c r="B26">
        <v>71</v>
      </c>
      <c r="C26">
        <v>1647.8109859154999</v>
      </c>
      <c r="D26">
        <v>116994.5800000005</v>
      </c>
      <c r="E26">
        <v>2131.4</v>
      </c>
      <c r="F26">
        <v>151329.4</v>
      </c>
      <c r="G26" t="s">
        <v>158</v>
      </c>
      <c r="H26">
        <v>504.05</v>
      </c>
      <c r="I26" t="str">
        <f t="shared" si="0"/>
        <v>Not in New Portfolio</v>
      </c>
      <c r="J26" t="str">
        <f t="shared" si="1"/>
        <v>In New Portfolio</v>
      </c>
      <c r="K26" t="str">
        <f t="shared" si="2"/>
        <v>Hold</v>
      </c>
      <c r="L26" t="str">
        <f t="shared" si="3"/>
        <v>SWARAJ ENGINES LTD.</v>
      </c>
      <c r="M26">
        <f>D26/C26</f>
        <v>71</v>
      </c>
      <c r="N26">
        <v>2131.4</v>
      </c>
      <c r="O26">
        <f t="shared" si="14"/>
        <v>151329.4</v>
      </c>
      <c r="P26" t="str">
        <f t="shared" si="7"/>
        <v>SWARAJ ENGINES LTD.</v>
      </c>
      <c r="Q26" t="str" cm="1">
        <f t="array" ref="Q26:R26">IF(I26="Not in New Portfolio", G26:H26, "")</f>
        <v>Steelcast Ltd.</v>
      </c>
      <c r="R26">
        <v>504.05</v>
      </c>
      <c r="S26" s="18">
        <f t="shared" ref="S26:S52" si="15">$D$35/R26</f>
        <v>602.27842145289821</v>
      </c>
      <c r="T26" s="18">
        <f t="shared" si="5"/>
        <v>303578.43833333335</v>
      </c>
      <c r="U26" s="13" t="s">
        <v>159</v>
      </c>
      <c r="V26">
        <v>303578</v>
      </c>
    </row>
    <row r="27" spans="1:22" x14ac:dyDescent="0.3">
      <c r="A27" t="s">
        <v>160</v>
      </c>
      <c r="B27">
        <v>133</v>
      </c>
      <c r="C27">
        <v>1634.7134586466</v>
      </c>
      <c r="D27">
        <v>217416.8899999978</v>
      </c>
      <c r="E27">
        <v>1792.05</v>
      </c>
      <c r="F27">
        <v>238342.65</v>
      </c>
      <c r="G27" t="s">
        <v>161</v>
      </c>
      <c r="H27">
        <v>1314.1</v>
      </c>
      <c r="I27" t="str">
        <f t="shared" si="0"/>
        <v>Not in New Portfolio</v>
      </c>
      <c r="J27" t="str">
        <f t="shared" si="1"/>
        <v>In New Portfolio</v>
      </c>
      <c r="K27" t="str">
        <f t="shared" si="2"/>
        <v>Hold</v>
      </c>
      <c r="L27" t="str">
        <f t="shared" si="3"/>
        <v>TAAL ENTERPRISES LTD</v>
      </c>
      <c r="P27" t="str">
        <f t="shared" si="7"/>
        <v>TAAL ENTERPRISES LTD</v>
      </c>
      <c r="Q27" t="str" cm="1">
        <f t="array" ref="Q27:R27">IF(I27="Not in New Portfolio", G27:H27, "")</f>
        <v>Clean Science And Technology Ltd.</v>
      </c>
      <c r="R27">
        <v>1314.1</v>
      </c>
      <c r="S27" s="18">
        <f t="shared" si="15"/>
        <v>231.01623798290342</v>
      </c>
      <c r="T27" s="18">
        <f t="shared" si="5"/>
        <v>303578.43833333335</v>
      </c>
      <c r="U27" s="13" t="s">
        <v>162</v>
      </c>
      <c r="V27">
        <v>116994</v>
      </c>
    </row>
    <row r="28" spans="1:22" x14ac:dyDescent="0.3">
      <c r="A28" t="s">
        <v>163</v>
      </c>
      <c r="B28">
        <v>470</v>
      </c>
      <c r="C28">
        <v>514.33304255320002</v>
      </c>
      <c r="D28">
        <v>241736.53000000399</v>
      </c>
      <c r="E28">
        <v>1930.2</v>
      </c>
      <c r="F28">
        <v>907194</v>
      </c>
      <c r="G28" t="s">
        <v>160</v>
      </c>
      <c r="H28">
        <v>1792.05</v>
      </c>
      <c r="I28" t="str">
        <f t="shared" si="0"/>
        <v>In New Portfolio</v>
      </c>
      <c r="J28" t="str">
        <f t="shared" si="1"/>
        <v>In New Portfolio</v>
      </c>
      <c r="K28" t="str">
        <f t="shared" si="2"/>
        <v>Hold</v>
      </c>
      <c r="L28" t="str">
        <f t="shared" si="3"/>
        <v xml:space="preserve"> </v>
      </c>
      <c r="M28">
        <f>D28/C28</f>
        <v>469.99999999999994</v>
      </c>
      <c r="N28">
        <v>1930.2</v>
      </c>
      <c r="O28">
        <f t="shared" ref="O28:O56" si="16">M28*N28</f>
        <v>907193.99999999988</v>
      </c>
      <c r="P28" t="str">
        <f t="shared" si="7"/>
        <v>TANFAC INDUSTRIES LTD.</v>
      </c>
      <c r="Q28" t="str" cm="1">
        <f t="array" ref="Q28">IF(I28="Not in New Portfolio", G28:H28, "")</f>
        <v/>
      </c>
      <c r="S28" s="18"/>
      <c r="T28" s="18">
        <f t="shared" si="5"/>
        <v>0</v>
      </c>
      <c r="U28" s="13" t="s">
        <v>160</v>
      </c>
      <c r="V28">
        <v>217416</v>
      </c>
    </row>
    <row r="29" spans="1:22" x14ac:dyDescent="0.3">
      <c r="A29" t="s">
        <v>164</v>
      </c>
      <c r="B29">
        <v>111</v>
      </c>
      <c r="C29">
        <v>900.50279279280005</v>
      </c>
      <c r="D29">
        <v>99955.810000000798</v>
      </c>
      <c r="E29">
        <v>517.95000000000005</v>
      </c>
      <c r="F29">
        <v>57492.45</v>
      </c>
      <c r="G29" t="s">
        <v>165</v>
      </c>
      <c r="H29">
        <v>444.7</v>
      </c>
      <c r="I29" t="str">
        <f t="shared" si="0"/>
        <v>In New Portfolio</v>
      </c>
      <c r="J29" t="str">
        <f t="shared" si="1"/>
        <v>Not in New Portfolio</v>
      </c>
      <c r="K29" t="str">
        <f t="shared" si="2"/>
        <v>Sell</v>
      </c>
      <c r="L29" t="str">
        <f t="shared" si="3"/>
        <v xml:space="preserve"> </v>
      </c>
      <c r="M29">
        <f>D29/C29</f>
        <v>110.99999999999999</v>
      </c>
      <c r="N29">
        <v>517.95000000000005</v>
      </c>
      <c r="O29">
        <f t="shared" si="16"/>
        <v>57492.45</v>
      </c>
      <c r="P29" t="str">
        <f t="shared" si="7"/>
        <v xml:space="preserve"> </v>
      </c>
      <c r="Q29" t="str" cm="1">
        <f t="array" ref="Q29">IF(I29="Not in New Portfolio", G29:H29, "")</f>
        <v/>
      </c>
      <c r="S29" s="18"/>
      <c r="T29" s="18">
        <f t="shared" si="5"/>
        <v>0</v>
      </c>
      <c r="U29" s="13" t="s">
        <v>166</v>
      </c>
      <c r="V29">
        <v>241736</v>
      </c>
    </row>
    <row r="30" spans="1:22" x14ac:dyDescent="0.3">
      <c r="A30" t="s">
        <v>167</v>
      </c>
      <c r="B30">
        <v>699</v>
      </c>
      <c r="C30">
        <v>331.13117310439998</v>
      </c>
      <c r="D30">
        <v>231460.68999997561</v>
      </c>
      <c r="E30">
        <v>333.6</v>
      </c>
      <c r="F30">
        <v>233186.4</v>
      </c>
      <c r="G30" t="s">
        <v>168</v>
      </c>
      <c r="H30">
        <v>2316.5500000000002</v>
      </c>
      <c r="I30" t="str">
        <f t="shared" si="0"/>
        <v>In New Portfolio</v>
      </c>
      <c r="J30" t="str">
        <f t="shared" si="1"/>
        <v>Not in New Portfolio</v>
      </c>
      <c r="K30" t="str">
        <f t="shared" si="2"/>
        <v>Sell</v>
      </c>
      <c r="L30" t="str">
        <f t="shared" si="3"/>
        <v xml:space="preserve"> </v>
      </c>
      <c r="M30">
        <f>D30/C30</f>
        <v>699.00000000000011</v>
      </c>
      <c r="N30">
        <v>333.6</v>
      </c>
      <c r="O30">
        <f t="shared" si="16"/>
        <v>233186.40000000005</v>
      </c>
      <c r="P30" t="str">
        <f t="shared" si="7"/>
        <v xml:space="preserve"> </v>
      </c>
      <c r="Q30" t="str" cm="1">
        <f t="array" ref="Q30">IF(I30="Not in New Portfolio", G30:H30, "")</f>
        <v/>
      </c>
      <c r="S30" s="18"/>
      <c r="T30" s="18">
        <f t="shared" si="5"/>
        <v>0</v>
      </c>
      <c r="U30" s="13" t="s">
        <v>169</v>
      </c>
      <c r="V30">
        <v>303578</v>
      </c>
    </row>
    <row r="31" spans="1:22" x14ac:dyDescent="0.3">
      <c r="A31" t="s">
        <v>170</v>
      </c>
      <c r="B31">
        <v>1270</v>
      </c>
      <c r="C31">
        <v>185.96058267719999</v>
      </c>
      <c r="D31">
        <v>236169.94000004401</v>
      </c>
      <c r="E31">
        <v>267.2</v>
      </c>
      <c r="F31">
        <v>339344</v>
      </c>
      <c r="G31" t="s">
        <v>171</v>
      </c>
      <c r="H31">
        <v>46.45</v>
      </c>
      <c r="I31" t="str">
        <f t="shared" si="0"/>
        <v>Not in New Portfolio</v>
      </c>
      <c r="J31" t="str">
        <f t="shared" si="1"/>
        <v>In New Portfolio</v>
      </c>
      <c r="K31" t="str">
        <f t="shared" si="2"/>
        <v>Hold</v>
      </c>
      <c r="L31" t="str">
        <f t="shared" si="3"/>
        <v>TIPS INDUSTRIES LTD.</v>
      </c>
      <c r="M31">
        <f>D31/C31</f>
        <v>1270</v>
      </c>
      <c r="N31">
        <v>267.2</v>
      </c>
      <c r="O31">
        <f t="shared" si="16"/>
        <v>339344</v>
      </c>
      <c r="P31" t="str">
        <f t="shared" si="7"/>
        <v>TIPS INDUSTRIES LTD.</v>
      </c>
      <c r="Q31" t="str" cm="1">
        <f t="array" ref="Q31:R31">IF(I31="Not in New Portfolio", G31:H31, "")</f>
        <v>Dolat Algotech Ltd.</v>
      </c>
      <c r="R31">
        <v>46.45</v>
      </c>
      <c r="S31" s="18">
        <f t="shared" ref="S31:S57" si="17">$D$35/R31</f>
        <v>6535.596088984571</v>
      </c>
      <c r="T31" s="18">
        <f t="shared" si="5"/>
        <v>303578.43833333335</v>
      </c>
      <c r="U31" s="13" t="s">
        <v>172</v>
      </c>
      <c r="V31">
        <v>236169</v>
      </c>
    </row>
    <row r="33" spans="3:22" x14ac:dyDescent="0.3">
      <c r="C33" t="s">
        <v>175</v>
      </c>
      <c r="D33">
        <v>5714692.29</v>
      </c>
      <c r="F33">
        <v>7251271.0899999999</v>
      </c>
      <c r="N33" t="s">
        <v>174</v>
      </c>
      <c r="O33" s="20">
        <f>SUM(O2:O31)</f>
        <v>5464411.8900000006</v>
      </c>
      <c r="T33" s="21">
        <f>SUM(T2:T31)</f>
        <v>5464411.8900000015</v>
      </c>
      <c r="U33" s="13" t="s">
        <v>175</v>
      </c>
      <c r="V33" s="22">
        <f>SUM(V2:V31)</f>
        <v>7816700</v>
      </c>
    </row>
    <row r="35" spans="3:22" x14ac:dyDescent="0.3">
      <c r="C35" t="s">
        <v>176</v>
      </c>
      <c r="D35" s="19">
        <f>O33/18</f>
        <v>303578.43833333335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Portfolio</vt:lpstr>
      <vt:lpstr>Client1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yadav</dc:creator>
  <cp:lastModifiedBy>919137724624</cp:lastModifiedBy>
  <dcterms:created xsi:type="dcterms:W3CDTF">2024-12-12T13:54:31Z</dcterms:created>
  <dcterms:modified xsi:type="dcterms:W3CDTF">2025-05-01T19:05:54Z</dcterms:modified>
</cp:coreProperties>
</file>